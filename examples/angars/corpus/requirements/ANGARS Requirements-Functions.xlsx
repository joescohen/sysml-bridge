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3 FAR/"/>
    </mc:Choice>
  </mc:AlternateContent>
  <xr:revisionPtr revIDLastSave="219" documentId="8_{CBD74E23-A8FE-7748-8F64-8C3662B61BCF}" xr6:coauthVersionLast="47" xr6:coauthVersionMax="47" xr10:uidLastSave="{AEF8B4EC-C612-4BE0-93CB-A32775CFFB0E}"/>
  <bookViews>
    <workbookView xWindow="-28920" yWindow="-120" windowWidth="29040" windowHeight="15720" xr2:uid="{00000000-000D-0000-FFFF-FFFF00000000}"/>
  </bookViews>
  <sheets>
    <sheet name="Final" sheetId="6" r:id="rId1"/>
    <sheet name="Satisfied By" sheetId="9" r:id="rId2"/>
    <sheet name="All Behaviors" sheetId="8" r:id="rId3"/>
    <sheet name="VLOOKUP" sheetId="7" r:id="rId4"/>
    <sheet name="Sheet1" sheetId="10" r:id="rId5"/>
  </sheets>
  <definedNames>
    <definedName name="_xlnm._FilterDatabase" localSheetId="0" hidden="1">Final!$A$2:$S$156</definedName>
    <definedName name="_xlnm._FilterDatabase" localSheetId="1" hidden="1">'Satisfied By'!$A$1:$E$155</definedName>
    <definedName name="_xlnm._FilterDatabase" localSheetId="3" hidden="1">VLOOKUP!$A$1:$D$94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B3" i="10"/>
  <c r="B4" i="10"/>
  <c r="B5" i="10"/>
  <c r="B6" i="10"/>
  <c r="B7" i="10"/>
  <c r="B8" i="10"/>
  <c r="B1" i="10"/>
  <c r="M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3" i="6"/>
</calcChain>
</file>

<file path=xl/sharedStrings.xml><?xml version="1.0" encoding="utf-8"?>
<sst xmlns="http://schemas.openxmlformats.org/spreadsheetml/2006/main" count="2517" uniqueCount="958">
  <si>
    <t>N1</t>
  </si>
  <si>
    <t>N5</t>
  </si>
  <si>
    <t>N6</t>
  </si>
  <si>
    <t>N15</t>
  </si>
  <si>
    <t>N3</t>
  </si>
  <si>
    <t>N4</t>
  </si>
  <si>
    <t>N2</t>
  </si>
  <si>
    <t>N9</t>
  </si>
  <si>
    <t>N8</t>
  </si>
  <si>
    <t>N12</t>
  </si>
  <si>
    <t>N10</t>
  </si>
  <si>
    <t>N14</t>
  </si>
  <si>
    <t>N13</t>
  </si>
  <si>
    <t>N11</t>
  </si>
  <si>
    <t>N7</t>
  </si>
  <si>
    <t>Type</t>
  </si>
  <si>
    <t>Requirement Statement</t>
  </si>
  <si>
    <t>Verification Method</t>
  </si>
  <si>
    <t>Functional</t>
  </si>
  <si>
    <t>Performance</t>
  </si>
  <si>
    <t>Demonstration</t>
  </si>
  <si>
    <t>Test</t>
  </si>
  <si>
    <t>Analysis</t>
  </si>
  <si>
    <t>Relevant Need(s)</t>
  </si>
  <si>
    <t>Inspection</t>
  </si>
  <si>
    <t>Category</t>
  </si>
  <si>
    <t>Operational</t>
  </si>
  <si>
    <t>Binary</t>
  </si>
  <si>
    <t>N1, N2</t>
  </si>
  <si>
    <t>Qualitative</t>
  </si>
  <si>
    <t>The system shall maintain functionality during electronic warfare conditions.</t>
  </si>
  <si>
    <t>Quantitative</t>
  </si>
  <si>
    <t>The system shall achieve ≥95% mission success rate under nominal conditions.</t>
  </si>
  <si>
    <t>The system shall log mission failures for post-mission diagnostics.</t>
  </si>
  <si>
    <t>The system shall switch to optical sensors in low-visibility conditions.</t>
  </si>
  <si>
    <t>The system shall employ terrain-based navigation in GPS-denied environments.</t>
  </si>
  <si>
    <t>The system shall generate post-mission performance reports.</t>
  </si>
  <si>
    <t>The HMI shall include emergency shutdown controls.</t>
  </si>
  <si>
    <t>The HMI shall provide tactile feedback for critical alerts.</t>
  </si>
  <si>
    <t>The HMI shall support voice commands for operator actions.</t>
  </si>
  <si>
    <t>The system shall isolate faulty sensors during diagnostics.</t>
  </si>
  <si>
    <t>The system shall alert operators of low fuel pressure.</t>
  </si>
  <si>
    <t>The system shall update collision risk assessments every 0.5 seconds.</t>
  </si>
  <si>
    <t>The system shall prioritize collision avoidance over mission timelines.</t>
  </si>
  <si>
    <t>The system shall log all threat responses for post-mission review.</t>
  </si>
  <si>
    <t>External Interface</t>
  </si>
  <si>
    <t>The system shall interface with tanker navigation systems.</t>
  </si>
  <si>
    <t>The system shall terminate unauthenticated connections.</t>
  </si>
  <si>
    <t>The system shall comply with Link 16 messaging protocols.</t>
  </si>
  <si>
    <t>The HMI shall integrate with ground control station dashboards.</t>
  </si>
  <si>
    <t>The system shall use quantum-resistant encryption algorithms.</t>
  </si>
  <si>
    <t>Constraint</t>
  </si>
  <si>
    <t>The system shall comply with FAA airworthiness standards.</t>
  </si>
  <si>
    <t>The system shall default to safe mode during power loss.</t>
  </si>
  <si>
    <t>The system shall adhere to NATO cybersecurity standards.</t>
  </si>
  <si>
    <t>The system shall pass electromagnetic interference (EMI) testing.</t>
  </si>
  <si>
    <t>The system shall provide lifecycle cost estimates for sustainment.</t>
  </si>
  <si>
    <t>The system shall include fail-safe mechanical locks for the refueling boom.</t>
  </si>
  <si>
    <t>The system shall include training simulators for maintenance crews.</t>
  </si>
  <si>
    <t>The system shall include redundant inertial measurement units (IMUs).</t>
  </si>
  <si>
    <t>The system shall document all repair procedures for field use.</t>
  </si>
  <si>
    <t>The system shall comply with DO-178C for software airworthiness.</t>
  </si>
  <si>
    <t>The system shall abort refueling if the receiving aircraft proximity exits established safe bounds.</t>
  </si>
  <si>
    <t>The system shall verify and validate receiving aircraft identity before beginning fuel transfer.</t>
  </si>
  <si>
    <t>The system shall execute autonomous refueling via onboard sensors without human assistance.</t>
  </si>
  <si>
    <t>The system shall complete refueling within 10 minutes (T), 8 minutes (O) of handshake (alignment) with receiving aircraft.</t>
  </si>
  <si>
    <t>The system shall detect fuel leaks and cease fuel transfers immediately.</t>
  </si>
  <si>
    <t>The system shall maintain a stable connection with the receiving aircraft during turbulence.</t>
  </si>
  <si>
    <t>The system shall align the refueling probe within 0.5m (T), 0.25m (O) of the receiving aircrafts fueling port.</t>
  </si>
  <si>
    <t>The system shall adjust refueling speed based on receiving aircraft stability.</t>
  </si>
  <si>
    <t>The system shall adjust fuel flow to minimize receiving aircraft turbulence.</t>
  </si>
  <si>
    <t>The system shall validate digital certificates for all receiving aircrafts.</t>
  </si>
  <si>
    <t>The system shall retract the refueling probe when refueling has completed</t>
  </si>
  <si>
    <t>The system shall employ refueling procedures for both manned and unmanned aircraft.</t>
  </si>
  <si>
    <t>The system shall employ countermeasures in the event of airborne threats.</t>
  </si>
  <si>
    <t>The system shall detect and contain cybersecurity breaches by automatically disconnecting impacted systems.</t>
  </si>
  <si>
    <t>The system shall detect spoofed GPS signals within 6 seconds (T), 2 seconds (O).</t>
  </si>
  <si>
    <t>The system shall disable non-critical systems during cyberattacks to minimize impact from potentially compromised systems.</t>
  </si>
  <si>
    <t>The system shall mitigate jamming attempts within 30 seconds (T), 15 seconds (O).</t>
  </si>
  <si>
    <t>The system shall have 99% (T) 99.9% (O) uptime during threat conditions.</t>
  </si>
  <si>
    <t>The system shall update countermeasure protocols via over-the-air (OTA) updates within 24 hours (T), 12 hours (O) of new threat identification</t>
  </si>
  <si>
    <t>The system shall validate sensor accuracy during testing to ±1% (T), ±0.5% (O) during testing.</t>
  </si>
  <si>
    <t>The system shall meet all requirements of the autonomous mode test protocols each year.</t>
  </si>
  <si>
    <t>The system shall validate all software updates in a sandbox environment before flight implementation.</t>
  </si>
  <si>
    <t>The system shall calibrate sensors to 0.5% (T), 0.25% (O) error margin semi-annually.</t>
  </si>
  <si>
    <t>The system shall ensure that all autonomous algorithms are thoroughly tested, achieving 98% (T), 100% (O) test coverage for autonomous algorithms against DO-178C standards and regulations.</t>
  </si>
  <si>
    <t>The system shall verify software integrity via checksum check pre-deployment.</t>
  </si>
  <si>
    <t>The system shall validate hardware durability over 8,000 (T) operational hours, 10,000 (O) operational hours.</t>
  </si>
  <si>
    <t>The HMI shall allow manual override within 2.5 seconds (T), 2 seconds (O).</t>
  </si>
  <si>
    <t>The HMI shall display subsystem health using red (fault), yellow (degraded), and green (nominal) per MIL-STD-1472G.</t>
  </si>
  <si>
    <t>The HMI shall display graphical data at 30 Hz (T), 60 Hz (O).</t>
  </si>
  <si>
    <t>The HMI shall include the option for multilingual support for operators.</t>
  </si>
  <si>
    <t>The HMI shall log operator actions and system context for audit purposes.</t>
  </si>
  <si>
    <t>The HMI shall provide haptic feedback to operators for emergency alerts.</t>
  </si>
  <si>
    <t>The HMI shall update status displays every 0.5 seconds (T), 0.2 seconds (O).</t>
  </si>
  <si>
    <t>The HMI shall disable non-essential controls during critical emergencies.</t>
  </si>
  <si>
    <t>The HMI shall provide step-by-step instructions for manual override.</t>
  </si>
  <si>
    <t>The system shall support the replacement of critical components to restore operational capability within 4 hours (T), 2 hours (O).</t>
  </si>
  <si>
    <t>The system shall utilize modular subsystems to enable independent upgrades.</t>
  </si>
  <si>
    <t>The system shall have a mean repair time (MTTR) of 2 hours (T), 1.5 hours (O).</t>
  </si>
  <si>
    <t>The system shall implement a 10-year obsolescence management strategy.</t>
  </si>
  <si>
    <t>The system shall integrate with existing KC-46 tankers without structural modifications.</t>
  </si>
  <si>
    <t>The system shall comply with MIL-STD-1553 for interfacing with tanker avionics to ensure common interfacing.</t>
  </si>
  <si>
    <t>The system shall support software updates to maintain compatibility with future tanker models.</t>
  </si>
  <si>
    <t>The system shall maintain integration times with new tanker models within 48 hours (T), 36 hours (O).</t>
  </si>
  <si>
    <t>The system shall interface with tanker power supply outputs of 28VDC nominal.</t>
  </si>
  <si>
    <t>The system shall validate and log tanker fuel quantities before mission start.</t>
  </si>
  <si>
    <t>The system shall synchronize its navigation data with tanker waypoints.</t>
  </si>
  <si>
    <t>The system shall send tanker health data to ground stations.</t>
  </si>
  <si>
    <t>The system shall automatically detect and configure tanker-specific data buses.</t>
  </si>
  <si>
    <t>The system shall synchronize fuel data with tanker fuel data logistical systems.</t>
  </si>
  <si>
    <t>The system shall have a communications interface latency of 5ms (T), 3ms (O) for critical commands.</t>
  </si>
  <si>
    <t>The system shall transfer fuel at 1,200 gallons/minute (T), 3000 gallons/minute(O).</t>
  </si>
  <si>
    <t>The system shall report downtime metrics within 2% (T), 1% (O) error.</t>
  </si>
  <si>
    <t>The system shall employ an optimized fuel transfering schedule based on receiving aircraft priority.</t>
  </si>
  <si>
    <t>The system shall limit fuel waste to no more than 1.0% (T), 0.5% (O) of the total fuel consumed in each mission</t>
  </si>
  <si>
    <t>The system shall ensure that actual fuel transfer volumes are within 5.0% (T), 3.0% (O) of the planned values.</t>
  </si>
  <si>
    <t>The system shall verify fuel quality before transfer.</t>
  </si>
  <si>
    <t>The system shall report fuel transfer completion within 5 seconds (T), 10 seconds (O).</t>
  </si>
  <si>
    <t>The system shall automatically update its maintenance schedule by analyzing performance metrics to determine if maintenance is likely required</t>
  </si>
  <si>
    <t>The system shall adjust fuel flow rate based on receiving aircraft type and properties.</t>
  </si>
  <si>
    <t>The system shall support ≥ 3 (T), 4 (O) fuel types (eg. Jet A, Jet A-1, Jet B, etc.).</t>
  </si>
  <si>
    <t>The system shall verify receiving aircraft fuel capacity before transfer.</t>
  </si>
  <si>
    <t>The system shall automatically adjust the boom length to compensate for altitude differences in receiving aircraft.</t>
  </si>
  <si>
    <t>The system shall automatically calibrate and adapt to account for variations in fuel port configurations on receiving aircraft.</t>
  </si>
  <si>
    <t>The system shall automatically adjust its altitude based on receiving aircraft type.</t>
  </si>
  <si>
    <t>The system shall support refueling at altitudes up to 35,000 feet (T), 40,000 feet (O).</t>
  </si>
  <si>
    <t>The system shall operate in GPS-denied environments by automatically switching to alternate navigation methods.</t>
  </si>
  <si>
    <t>The system shall operate without degredation in operational capability in adverse weather conditions (rain, fog, winds ≤25 knots).</t>
  </si>
  <si>
    <t>The system shall utilize inertial navigation when GPS is not available (GPS denial, outages).</t>
  </si>
  <si>
    <t>The system shall operate in temperature ranges of -35C to +50C (T), -40C to +55C (O).</t>
  </si>
  <si>
    <t>The system shall maintain positional accuracy of ≤ 5m (T), 4m (O) in contested environments.</t>
  </si>
  <si>
    <t>The system shall automatically reroute missions to avoid known threat zones.</t>
  </si>
  <si>
    <t>The system shall encrypt all communications using AES-256 encryption protocol.</t>
  </si>
  <si>
    <t>The system shall authenticate all receiving aircraft before data exchange.</t>
  </si>
  <si>
    <t>The system shall maintain ≤ 15ms (T), 10ms (O) latency in command transmission.</t>
  </si>
  <si>
    <t>The system shall employ frequency-hopping techniques to counter jamming attempts.</t>
  </si>
  <si>
    <t xml:space="preserve">The system shall sustain communication uptime of ≥ 99.8% (T), 99.9% (O) between receiving aircraft. </t>
  </si>
  <si>
    <t>The system shall have data packet loss of ≤ 0.2% (T), 0.1% (O).</t>
  </si>
  <si>
    <t>The system shall employ RF signature masking techniques during covert operations.</t>
  </si>
  <si>
    <t>The system shall implement a zero-trust network architecture, verifying all access requests regardless of origin.</t>
  </si>
  <si>
    <t>The system shall detect obstacles within 500m (T), 750m (O) with 99% accuracy.</t>
  </si>
  <si>
    <t>The system shall automatically reroute flight paths to avoid collisions.</t>
  </si>
  <si>
    <t>The system shall maintain ≥ 100m (T), 150m (O) separation from non-receiving aircraft.</t>
  </si>
  <si>
    <t>The system shall detect birds/foreign objects ≥ 10cm (T), 7cm (O) wide.</t>
  </si>
  <si>
    <t>The system shall limit false collision alerts to no more than two (T) one (O) per mission.</t>
  </si>
  <si>
    <t>The system shall employ predictive algorithms for obstacle trajectories and avoidance.</t>
  </si>
  <si>
    <t>The system shall avoid terrain obstacles located below 500m (T), 750m (O) above ground level (AGL)</t>
  </si>
  <si>
    <t>The system shall automatically prioritize mission-critical tasks over non-critical tasks during contested operations.</t>
  </si>
  <si>
    <t>The system shall have on average, a collision expectancy of no more than once every 1,000,000 mission hours (T) 1,500,000 (O) mission hours.</t>
  </si>
  <si>
    <t>The system shall have redundant fuel pumps.</t>
  </si>
  <si>
    <t>The system shall have backup power for critical subsystems.</t>
  </si>
  <si>
    <t>The system shall automatically detect and isolate hydraulic failures to ensure faulting does not propegate throughout the rest of the system.</t>
  </si>
  <si>
    <t>The system shall employ triple-redundant flight control systems.</t>
  </si>
  <si>
    <t>The system shall employ dual-redundant data buses.</t>
  </si>
  <si>
    <t>The system shall recover from faults and resume operations within 2 minutes (T), 1 minute (O).</t>
  </si>
  <si>
    <t>The system shall limit mission aborts caused by subsystem failures to ≤ 3% (T), 2% (O).</t>
  </si>
  <si>
    <t>The system shall archive mission data for ≥ 30 days (T), 45 days post-operation.</t>
  </si>
  <si>
    <t>The system shall notify operators of mission success/failure within 1 minute (T), 30 seconds (O).</t>
  </si>
  <si>
    <t>The system shall detect faults in fuel pumps within 5 seconds (T), 2 seconds (O).</t>
  </si>
  <si>
    <t>The system shall implement algorithms to predict pump failures using vibrational analysis.</t>
  </si>
  <si>
    <t>The system shall monitor fuel temperature within 2C (T), 1C (O) accuracy.</t>
  </si>
  <si>
    <t>The system shall re-establish encrypted communication within 5 seconds (T), 4 seconds (O) of signal loss.</t>
  </si>
  <si>
    <t>The system shall support refueling for autonomous aircraft with wingspans of  5m-15m (T), 5m-18m (O).</t>
  </si>
  <si>
    <t>R163</t>
  </si>
  <si>
    <t>N16</t>
  </si>
  <si>
    <t>The system shall receive, authenticate, and process refueling requests from ground control via satellite within 10 seconds (T), 8 seconds (O).</t>
  </si>
  <si>
    <t>R164</t>
  </si>
  <si>
    <t>The system shall prioritize refueling requests based on aircraft fuel urgency, mission criticality, and operational efficiency algorithms.</t>
  </si>
  <si>
    <t>R165</t>
  </si>
  <si>
    <t>R166</t>
  </si>
  <si>
    <t>The system shall update schedules dynamically in response to new requests or mission disruptions (e.g., threats, weather).</t>
  </si>
  <si>
    <t>R167</t>
  </si>
  <si>
    <t>The system shall generate and transmit post-mission reports (fuel transferred, anomalies, threats) to ground control within 5 minutes (T), 3 minutes (O) of mission completion.</t>
  </si>
  <si>
    <t>The system shall erase sensitive data and notify ground control if tampering is detected.</t>
  </si>
  <si>
    <t>The system shall reroute mission data through relay satellites if direct ground links are jammed.</t>
  </si>
  <si>
    <t>The system shall detect jamming signals within 10 seconds (T), 8 seconds (O) and transmit alerts to ground control.</t>
  </si>
  <si>
    <t>The system shall prioritize threat alerts over non-critical communications during contested operations.</t>
  </si>
  <si>
    <t>The HMI shall display real-time mission schedules, queued aircraft status, and threat alerts for operators.</t>
  </si>
  <si>
    <t>The HMI shall allow operators to manually reprioritize refueling queues during emergencies.</t>
  </si>
  <si>
    <t>The system shall generate a refueling schedule and broadcast it to queued aircraft and the ground within 30 seconds (T), 20 seconds (O) of mission assignment.</t>
  </si>
  <si>
    <t>N4, N3, N10</t>
  </si>
  <si>
    <t>R169</t>
  </si>
  <si>
    <t>R170</t>
  </si>
  <si>
    <t>R171</t>
  </si>
  <si>
    <t>R205</t>
  </si>
  <si>
    <t>The system shall not exceed 750 kg (T), 500 kg (O) or 3 cubic meters (T), 2 cubic meters (O) in size/weight during tanker integration.</t>
  </si>
  <si>
    <t>R207</t>
  </si>
  <si>
    <t>The system shall transmit mission status updates to ground control every 30 seconds.</t>
  </si>
  <si>
    <t>Old ID</t>
  </si>
  <si>
    <t>The system shall achieve ≥ 98% (T), 99% (O) message integrity during jamming.</t>
  </si>
  <si>
    <t>Req ID</t>
  </si>
  <si>
    <t>The system shall limit false-positive mission aborts to no more than 2% (T), 1% (O).</t>
  </si>
  <si>
    <t>The system shall validate fuel compatibility between receiving aircraft before transfer.</t>
  </si>
  <si>
    <t>The system shall identify and diagnose hydraulic system faults in ≤ 10 seconds (T), 5 seconds (O).</t>
  </si>
  <si>
    <t>The system shall archive diagnostics logs for ≥ 1 year (T), 2 years (O).</t>
  </si>
  <si>
    <t>The system shall prioritize refueling for low-fuel receiving aircraft first.</t>
  </si>
  <si>
    <t>The system shall meet or exceed MIL-STD-882E safety protocols.</t>
  </si>
  <si>
    <t>The system shall comply with STANAG 4406 for secure messaging to all NATO platforms.</t>
  </si>
  <si>
    <t>The system shall successfully pass all cybersecurity penetration tests with no exploitable vulnerabilities detected.</t>
  </si>
  <si>
    <t>The system shall meet or exceed ICAO Annex 6 safety requirements.</t>
  </si>
  <si>
    <t>ANGARS-1</t>
  </si>
  <si>
    <t>ANGARS-2</t>
  </si>
  <si>
    <t>ANGARS-3</t>
  </si>
  <si>
    <t>ANGARS-4</t>
  </si>
  <si>
    <t>ANGARS-5</t>
  </si>
  <si>
    <t>ANGARS-6</t>
  </si>
  <si>
    <t>ANGARS-7</t>
  </si>
  <si>
    <t>ANGARS-8</t>
  </si>
  <si>
    <t>ANGARS-9</t>
  </si>
  <si>
    <t>ANGARS-10</t>
  </si>
  <si>
    <t>ANGARS-11</t>
  </si>
  <si>
    <t>ANGARS-12</t>
  </si>
  <si>
    <t>ANGARS-13</t>
  </si>
  <si>
    <t>ANGARS-14</t>
  </si>
  <si>
    <t>ANGARS-15</t>
  </si>
  <si>
    <t>ANGARS-16</t>
  </si>
  <si>
    <t>ANGARS-17</t>
  </si>
  <si>
    <t>ANGARS-18</t>
  </si>
  <si>
    <t>ANGARS-19</t>
  </si>
  <si>
    <t>ANGARS-20</t>
  </si>
  <si>
    <t>ANGARS-21</t>
  </si>
  <si>
    <t>ANGARS-22</t>
  </si>
  <si>
    <t>ANGARS-23</t>
  </si>
  <si>
    <t>ANGARS-24</t>
  </si>
  <si>
    <t>ANGARS-25</t>
  </si>
  <si>
    <t>ANGARS-26</t>
  </si>
  <si>
    <t>ANGARS-27</t>
  </si>
  <si>
    <t>ANGARS-28</t>
  </si>
  <si>
    <t>ANGARS-29</t>
  </si>
  <si>
    <t>ANGARS-30</t>
  </si>
  <si>
    <t>ANGARS-31</t>
  </si>
  <si>
    <t>ANGARS-32</t>
  </si>
  <si>
    <t>ANGARS-33</t>
  </si>
  <si>
    <t>ANGARS-34</t>
  </si>
  <si>
    <t>ANGARS-35</t>
  </si>
  <si>
    <t>ANGARS-36</t>
  </si>
  <si>
    <t>ANGARS-37</t>
  </si>
  <si>
    <t>ANGARS-38</t>
  </si>
  <si>
    <t>ANGARS-39</t>
  </si>
  <si>
    <t>ANGARS-40</t>
  </si>
  <si>
    <t>ANGARS-41</t>
  </si>
  <si>
    <t>ANGARS-42</t>
  </si>
  <si>
    <t>ANGARS-43</t>
  </si>
  <si>
    <t>ANGARS-44</t>
  </si>
  <si>
    <t>ANGARS-45</t>
  </si>
  <si>
    <t>ANGARS-46</t>
  </si>
  <si>
    <t>ANGARS-47</t>
  </si>
  <si>
    <t>ANGARS-48</t>
  </si>
  <si>
    <t>ANGARS-49</t>
  </si>
  <si>
    <t>ANGARS-50</t>
  </si>
  <si>
    <t>ANGARS-51</t>
  </si>
  <si>
    <t>ANGARS-52</t>
  </si>
  <si>
    <t>ANGARS-53</t>
  </si>
  <si>
    <t>ANGARS-54</t>
  </si>
  <si>
    <t>ANGARS-55</t>
  </si>
  <si>
    <t>ANGARS-56</t>
  </si>
  <si>
    <t>ANGARS-57</t>
  </si>
  <si>
    <t>ANGARS-58</t>
  </si>
  <si>
    <t>ANGARS-59</t>
  </si>
  <si>
    <t>ANGARS-60</t>
  </si>
  <si>
    <t>ANGARS-61</t>
  </si>
  <si>
    <t>ANGARS-62</t>
  </si>
  <si>
    <t>ANGARS-63</t>
  </si>
  <si>
    <t>ANGARS-64</t>
  </si>
  <si>
    <t>ANGARS-65</t>
  </si>
  <si>
    <t>ANGARS-66</t>
  </si>
  <si>
    <t>ANGARS-67</t>
  </si>
  <si>
    <t>ANGARS-68</t>
  </si>
  <si>
    <t>ANGARS-69</t>
  </si>
  <si>
    <t>ANGARS-70</t>
  </si>
  <si>
    <t>ANGARS-71</t>
  </si>
  <si>
    <t>ANGARS-72</t>
  </si>
  <si>
    <t>ANGARS-73</t>
  </si>
  <si>
    <t>ANGARS-74</t>
  </si>
  <si>
    <t>ANGARS-75</t>
  </si>
  <si>
    <t>ANGARS-76</t>
  </si>
  <si>
    <t>ANGARS-77</t>
  </si>
  <si>
    <t>ANGARS-78</t>
  </si>
  <si>
    <t>ANGARS-79</t>
  </si>
  <si>
    <t>ANGARS-80</t>
  </si>
  <si>
    <t>ANGARS-81</t>
  </si>
  <si>
    <t>ANGARS-82</t>
  </si>
  <si>
    <t>ANGARS-83</t>
  </si>
  <si>
    <t>ANGARS-84</t>
  </si>
  <si>
    <t>ANGARS-85</t>
  </si>
  <si>
    <t>ANGARS-86</t>
  </si>
  <si>
    <t>ANGARS-87</t>
  </si>
  <si>
    <t>ANGARS-88</t>
  </si>
  <si>
    <t>ANGARS-89</t>
  </si>
  <si>
    <t>ANGARS-90</t>
  </si>
  <si>
    <t>ANGARS-91</t>
  </si>
  <si>
    <t>ANGARS-92</t>
  </si>
  <si>
    <t>ANGARS-93</t>
  </si>
  <si>
    <t>ANGARS-94</t>
  </si>
  <si>
    <t>ANGARS-95</t>
  </si>
  <si>
    <t>ANGARS-96</t>
  </si>
  <si>
    <t>ANGARS-97</t>
  </si>
  <si>
    <t>ANGARS-98</t>
  </si>
  <si>
    <t>ANGARS-99</t>
  </si>
  <si>
    <t>ANGARS-100</t>
  </si>
  <si>
    <t>ANGARS-101</t>
  </si>
  <si>
    <t>ANGARS-102</t>
  </si>
  <si>
    <t>ANGARS-103</t>
  </si>
  <si>
    <t>ANGARS-104</t>
  </si>
  <si>
    <t>ANGARS-105</t>
  </si>
  <si>
    <t>ANGARS-106</t>
  </si>
  <si>
    <t>ANGARS-107</t>
  </si>
  <si>
    <t>ANGARS-108</t>
  </si>
  <si>
    <t>ANGARS-109</t>
  </si>
  <si>
    <t>ANGARS-110</t>
  </si>
  <si>
    <t>ANGARS-111</t>
  </si>
  <si>
    <t>ANGARS-112</t>
  </si>
  <si>
    <t>ANGARS-113</t>
  </si>
  <si>
    <t>ANGARS-114</t>
  </si>
  <si>
    <t>ANGARS-115</t>
  </si>
  <si>
    <t>ANGARS-116</t>
  </si>
  <si>
    <t>ANGARS-117</t>
  </si>
  <si>
    <t>ANGARS-118</t>
  </si>
  <si>
    <t>ANGARS-119</t>
  </si>
  <si>
    <t>ANGARS-120</t>
  </si>
  <si>
    <t>ANGARS-121</t>
  </si>
  <si>
    <t>ANGARS-122</t>
  </si>
  <si>
    <t>ANGARS-123</t>
  </si>
  <si>
    <t>ANGARS-124</t>
  </si>
  <si>
    <t>ANGARS-125</t>
  </si>
  <si>
    <t>ANGARS-126</t>
  </si>
  <si>
    <t>ANGARS-127</t>
  </si>
  <si>
    <t>ANGARS-128</t>
  </si>
  <si>
    <t>ANGARS-129</t>
  </si>
  <si>
    <t>ANGARS-130</t>
  </si>
  <si>
    <t>ANGARS-131</t>
  </si>
  <si>
    <t>ANGARS-132</t>
  </si>
  <si>
    <t>ANGARS-133</t>
  </si>
  <si>
    <t>ANGARS-134</t>
  </si>
  <si>
    <t>ANGARS-135</t>
  </si>
  <si>
    <t>ANGARS-136</t>
  </si>
  <si>
    <t>ANGARS-137</t>
  </si>
  <si>
    <t>ANGARS-138</t>
  </si>
  <si>
    <t>ANGARS-139</t>
  </si>
  <si>
    <t>ANGARS-140</t>
  </si>
  <si>
    <t>ANGARS-141</t>
  </si>
  <si>
    <t>ANGARS-142</t>
  </si>
  <si>
    <t>ANGARS-143</t>
  </si>
  <si>
    <t>ANGARS-144</t>
  </si>
  <si>
    <t>ANGARS-145</t>
  </si>
  <si>
    <t>ANGARS-146</t>
  </si>
  <si>
    <t>ANGARS-147</t>
  </si>
  <si>
    <t>ANGARS-148</t>
  </si>
  <si>
    <t>ANGARS-149</t>
  </si>
  <si>
    <t>ANGARS-150</t>
  </si>
  <si>
    <t>ANGARS-151</t>
  </si>
  <si>
    <t>ANGARS-152</t>
  </si>
  <si>
    <t>ANGARS-153</t>
  </si>
  <si>
    <t>ANGARS-154</t>
  </si>
  <si>
    <t>Autonomous Refueling</t>
  </si>
  <si>
    <t>Refueling Time</t>
  </si>
  <si>
    <t>Proximity Safety Abort</t>
  </si>
  <si>
    <t>Aircraft ID Verification</t>
  </si>
  <si>
    <t>Turbulence Stability</t>
  </si>
  <si>
    <t>Probe Alignment Accuracy</t>
  </si>
  <si>
    <t>Fuel Leak Detection</t>
  </si>
  <si>
    <t>Adaptive Fuel Speed</t>
  </si>
  <si>
    <t>Probe Retraction</t>
  </si>
  <si>
    <t>Multi-Platform Refueling</t>
  </si>
  <si>
    <t>Wingspan Compatibility</t>
  </si>
  <si>
    <t>Fuel Flow Adaptation</t>
  </si>
  <si>
    <t>Multi-Fuel Support</t>
  </si>
  <si>
    <t>Fuel Capacity Check</t>
  </si>
  <si>
    <t>Altitude Boom Adjustment</t>
  </si>
  <si>
    <t>Fuel Port Adaptation</t>
  </si>
  <si>
    <t>Altitude by Aircraft Type</t>
  </si>
  <si>
    <t>High-Altitude Refueling</t>
  </si>
  <si>
    <t>GPS-Denied Navigation</t>
  </si>
  <si>
    <t>Electronic Warfare Operation</t>
  </si>
  <si>
    <t>Adverse Weather Operation</t>
  </si>
  <si>
    <t>Inertial Navigation</t>
  </si>
  <si>
    <t>Low-Visibility Sensors</t>
  </si>
  <si>
    <t>Mission Task Prioritization</t>
  </si>
  <si>
    <t>Terrain Navigation</t>
  </si>
  <si>
    <t>Extreme Temperature Range</t>
  </si>
  <si>
    <t>Contested Positioning Accuracy</t>
  </si>
  <si>
    <t>Threat Zone Avoidance</t>
  </si>
  <si>
    <t>Satellite Relay</t>
  </si>
  <si>
    <t>Pre-Comm Authentication</t>
  </si>
  <si>
    <t>Low-Latency Commands</t>
  </si>
  <si>
    <t>Anti-Jamming Hopping</t>
  </si>
  <si>
    <t>Communication Uptime</t>
  </si>
  <si>
    <t>Data Loss Limit</t>
  </si>
  <si>
    <t>RF Masking</t>
  </si>
  <si>
    <t>Certificate Validation</t>
  </si>
  <si>
    <t>Zero-Trust Network</t>
  </si>
  <si>
    <t>Encryption Recovery</t>
  </si>
  <si>
    <t>Quantum Encryption</t>
  </si>
  <si>
    <t>AES-256 Encryption</t>
  </si>
  <si>
    <t>Obstacle Detection Range</t>
  </si>
  <si>
    <t>Collision Rerouting</t>
  </si>
  <si>
    <t>Aircraft Separation</t>
  </si>
  <si>
    <t>Collision Update Frequency</t>
  </si>
  <si>
    <t>Foreign Object Detection</t>
  </si>
  <si>
    <t>False Alert Limit</t>
  </si>
  <si>
    <t>Terrain Avoidance</t>
  </si>
  <si>
    <t>Collision Expectancy</t>
  </si>
  <si>
    <t>Redundant Pumps</t>
  </si>
  <si>
    <t>Power Loss Safe Mode</t>
  </si>
  <si>
    <t>Triple Redundancy</t>
  </si>
  <si>
    <t>Backup Power</t>
  </si>
  <si>
    <t>Hydraulic Isolation</t>
  </si>
  <si>
    <t>Dual Data Buses</t>
  </si>
  <si>
    <t>Boom Fail-Safe Locks</t>
  </si>
  <si>
    <t>Redundant IMUs</t>
  </si>
  <si>
    <t>Mission Success Rate</t>
  </si>
  <si>
    <t>Failure Logging</t>
  </si>
  <si>
    <t>Fault Recovery Time</t>
  </si>
  <si>
    <t>Mission Abort Limit</t>
  </si>
  <si>
    <t>Data Archival</t>
  </si>
  <si>
    <t>Post-Mission Reports</t>
  </si>
  <si>
    <t>False Abort Limit</t>
  </si>
  <si>
    <t>Fuel Compatibility Check</t>
  </si>
  <si>
    <t>Pump Fault Detection</t>
  </si>
  <si>
    <t>Predictive Pump Analysis</t>
  </si>
  <si>
    <t>Fuel Temperature Monitoring</t>
  </si>
  <si>
    <t>Hydraulic Fault Speed</t>
  </si>
  <si>
    <t>Sensor Isolation</t>
  </si>
  <si>
    <t>Low Pressure Alert</t>
  </si>
  <si>
    <t>FAA Compliance</t>
  </si>
  <si>
    <t>MIL-STD-882E Compliance</t>
  </si>
  <si>
    <t>NATO Cybersecurity</t>
  </si>
  <si>
    <t>EMI Compliance</t>
  </si>
  <si>
    <t>STANAG 4406 Compliance</t>
  </si>
  <si>
    <t>Penetration Testing</t>
  </si>
  <si>
    <t>ICAO Annex 6 Compliance</t>
  </si>
  <si>
    <t>DO-178C Compliance</t>
  </si>
  <si>
    <t>Jamming Detection</t>
  </si>
  <si>
    <t>Threat Countermeasures</t>
  </si>
  <si>
    <t>Breach Containment</t>
  </si>
  <si>
    <t>GPS Spoof Detection</t>
  </si>
  <si>
    <t>Cyberattack System Disabling</t>
  </si>
  <si>
    <t>Jamming Mitigation</t>
  </si>
  <si>
    <t>Threat Uptime</t>
  </si>
  <si>
    <t>Threat Logging</t>
  </si>
  <si>
    <t>Countermeasure Updates</t>
  </si>
  <si>
    <t>Threat Alert Priority</t>
  </si>
  <si>
    <t>Annual Autonomy Testing</t>
  </si>
  <si>
    <t>Sensor Accuracy Validation</t>
  </si>
  <si>
    <t>Sandbox Software Testing</t>
  </si>
  <si>
    <t>Algorithm Test Coverage</t>
  </si>
  <si>
    <t>Sensor Calibration</t>
  </si>
  <si>
    <t>Software Checksum</t>
  </si>
  <si>
    <t>Hardware Durability Testing</t>
  </si>
  <si>
    <t>HMI Mission Display</t>
  </si>
  <si>
    <t>Manual Override Speed</t>
  </si>
  <si>
    <t>Emergency Shutdown</t>
  </si>
  <si>
    <t>Tactile Alerts</t>
  </si>
  <si>
    <t>Voice Command Support</t>
  </si>
  <si>
    <t>HMI Refresh Rate</t>
  </si>
  <si>
    <t>Subsystem Health Display</t>
  </si>
  <si>
    <t>Multilingual HMI</t>
  </si>
  <si>
    <t>Operator Action Logging</t>
  </si>
  <si>
    <t>Haptic Emergency Alerts</t>
  </si>
  <si>
    <t>HMI Update Speed</t>
  </si>
  <si>
    <t>Ground Dashboard Integration</t>
  </si>
  <si>
    <t>Critical Control Lockdown</t>
  </si>
  <si>
    <t>Manual Override Instructions</t>
  </si>
  <si>
    <t>Refueling Queue Reprioritization</t>
  </si>
  <si>
    <t>Component Replacement Time</t>
  </si>
  <si>
    <t>Modular Subsystems</t>
  </si>
  <si>
    <t>Mean Repair Time</t>
  </si>
  <si>
    <t>Obsolescence Management</t>
  </si>
  <si>
    <t>Lifecycle Cost Estimates</t>
  </si>
  <si>
    <t>Maintenance Training</t>
  </si>
  <si>
    <t>Repair Documentation</t>
  </si>
  <si>
    <t>KC-46 Integration</t>
  </si>
  <si>
    <t>Future Tanker Compatibility</t>
  </si>
  <si>
    <t>MIL-STD-1553 Compliance</t>
  </si>
  <si>
    <t>Tanker Integration Time</t>
  </si>
  <si>
    <t>Tanker Power Compatibility</t>
  </si>
  <si>
    <t>Tanker Fuel Validation</t>
  </si>
  <si>
    <t>Tanker Waypoint Sync</t>
  </si>
  <si>
    <t>Tanker Navigation Interface</t>
  </si>
  <si>
    <t>Tanker Health Reporting</t>
  </si>
  <si>
    <t>Link 16 Compliance</t>
  </si>
  <si>
    <t>Tanker Data Bus Auto-Detection</t>
  </si>
  <si>
    <t>Fuel Data Sync</t>
  </si>
  <si>
    <t>Tanker Comm Latency</t>
  </si>
  <si>
    <t>Tanker Integration Size/Weight</t>
  </si>
  <si>
    <t>Fuel Transfer Rate</t>
  </si>
  <si>
    <t>Downtime Reporting Accuracy</t>
  </si>
  <si>
    <t>Fuel Schedule Optimization</t>
  </si>
  <si>
    <t>Fuel Waste Limit</t>
  </si>
  <si>
    <t>Fuel Transfer Accuracy</t>
  </si>
  <si>
    <t>Turbulence Minimization</t>
  </si>
  <si>
    <t>Fuel Quality Check</t>
  </si>
  <si>
    <t>Transfer Completion Reporting</t>
  </si>
  <si>
    <t>Low-Fuel Priority</t>
  </si>
  <si>
    <t>Predictive Maintenance</t>
  </si>
  <si>
    <t>Refueling Request Processing</t>
  </si>
  <si>
    <t>Refueling Priority Logic</t>
  </si>
  <si>
    <t>Schedule Generation Speed</t>
  </si>
  <si>
    <t>Dynamic Schedule Updates</t>
  </si>
  <si>
    <t>Post-Mission Reporting</t>
  </si>
  <si>
    <t>Mission Status Updates</t>
  </si>
  <si>
    <t>Requirement Name</t>
  </si>
  <si>
    <t>Unauthorized Connection Termination</t>
  </si>
  <si>
    <t>Message Integrity During Jamming</t>
  </si>
  <si>
    <t>Tampered Data Erase</t>
  </si>
  <si>
    <t>Collision Avoidance Priority</t>
  </si>
  <si>
    <t>Predictive Obstacles Algorithms</t>
  </si>
  <si>
    <t>Status Notifications</t>
  </si>
  <si>
    <t>Log Archive</t>
  </si>
  <si>
    <t>Function</t>
  </si>
  <si>
    <t>Function Rational</t>
  </si>
  <si>
    <t>NEED</t>
  </si>
  <si>
    <t>Requirement Description</t>
  </si>
  <si>
    <t>Requirement Info</t>
  </si>
  <si>
    <t>F2 (autonomous docking) and F3 (fuel transfer) enable refueling without human intervention.</t>
  </si>
  <si>
    <t>No</t>
  </si>
  <si>
    <t>None</t>
  </si>
  <si>
    <t>Refueling time is a performance metric not captured in functional flows.</t>
  </si>
  <si>
    <t>Yes</t>
  </si>
  <si>
    <t>F4</t>
  </si>
  <si>
    <t>F4 monitors proximity and triggers safety abort via alerts to F2/F3.</t>
  </si>
  <si>
    <t>F1</t>
  </si>
  <si>
    <t>F1 verifies aircraft identity during refueling request processing.</t>
  </si>
  <si>
    <t>F2</t>
  </si>
  <si>
    <t>F2 stabilizes the connection during turbulence using guidance signals from F6.</t>
  </si>
  <si>
    <t>F2 aligns the probe within accuracy bounds using F6’s navigation signals.</t>
  </si>
  <si>
    <t>F3 detects leaks and stops transfer; F4 logs diagnostics.</t>
  </si>
  <si>
    <t>F3</t>
  </si>
  <si>
    <t>F3 adjusts fuel speed based on stability data from F2.</t>
  </si>
  <si>
    <t>F2 retracts the probe after F3 confirms fuel transfer completion.</t>
  </si>
  <si>
    <t>F1 handles refueling requests for both manned and unmanned aircraft.</t>
  </si>
  <si>
    <t>F2 adjusts docking procedures for wingspan compatibility.</t>
  </si>
  <si>
    <t>F3 adapts fuel flow rate based on aircraft type/properties.</t>
  </si>
  <si>
    <t>F3 validates fuel type compatibility before transfer.</t>
  </si>
  <si>
    <t>F1 checks fuel capacity during request validation.</t>
  </si>
  <si>
    <t>F2 adjusts boom length for altitude differences.</t>
  </si>
  <si>
    <t>F2 calibrates to fuel port configurations during docking.</t>
  </si>
  <si>
    <t>F2 adjusts altitude based on aircraft type.</t>
  </si>
  <si>
    <t>F6</t>
  </si>
  <si>
    <t>F6 supports high-altitude refueling via environmental adaptation.</t>
  </si>
  <si>
    <t>F6 switches to inertial/terrain navigation in GPS-denied mode.</t>
  </si>
  <si>
    <t>F6 maintains functionality during electronic warfare.</t>
  </si>
  <si>
    <t>F6 operates in adverse weather without degradation.</t>
  </si>
  <si>
    <t>F6 uses inertial navigation when GPS is unavailable.</t>
  </si>
  <si>
    <t>F6 switches to optical sensors in low visibility.</t>
  </si>
  <si>
    <t>F6 prioritizes mission-critical tasks during contested operations.</t>
  </si>
  <si>
    <t>F6 employs terrain-based navigation in GPS-denied environments.</t>
  </si>
  <si>
    <t>F6 operates in extreme temperature ranges.</t>
  </si>
  <si>
    <t>F6 maintains positional accuracy in contested environments.</t>
  </si>
  <si>
    <t>F6 reroutes missions to avoid threat zones.</t>
  </si>
  <si>
    <t>F5</t>
  </si>
  <si>
    <t>F5 reroutes data through relay satellites (RS) during jamming.</t>
  </si>
  <si>
    <t>F7</t>
  </si>
  <si>
    <t>F7 authenticates receiving aircraft before data exchange.</t>
  </si>
  <si>
    <t>F5 ensures low-latency command transmission.</t>
  </si>
  <si>
    <t>F5 employs frequency-hopping to counter jamming.</t>
  </si>
  <si>
    <t>F5 sustains communication uptime.</t>
  </si>
  <si>
    <t>F5 limits data packet loss.</t>
  </si>
  <si>
    <t>F7 terminates unauthenticated connections.</t>
  </si>
  <si>
    <t>F7 employs RF masking during covert operations.</t>
  </si>
  <si>
    <t>F7 validates digital certificates.</t>
  </si>
  <si>
    <t>F7 ensures message integrity during jamming.</t>
  </si>
  <si>
    <t>F7 implements zero-trust network architecture.</t>
  </si>
  <si>
    <t>F7 re-establishes encryption after signal loss.</t>
  </si>
  <si>
    <t>F7 erases tampered data and notifies ground control.</t>
  </si>
  <si>
    <t>F7 uses quantum-resistant encryption.</t>
  </si>
  <si>
    <t>F7 encrypts communications with AES-256.</t>
  </si>
  <si>
    <t>F1-F3 collectively ensure mission success under nominal conditions.</t>
  </si>
  <si>
    <t>F4 logs mission failures for diagnostics.</t>
  </si>
  <si>
    <t>F4 recovers from faults and resumes operations.</t>
  </si>
  <si>
    <t>F4 limits mission aborts caused by subsystem failures.</t>
  </si>
  <si>
    <t>F4 archives mission data.</t>
  </si>
  <si>
    <t>F1 generates post-mission reports.</t>
  </si>
  <si>
    <t>F4 sends status notifications to operators.</t>
  </si>
  <si>
    <t>F4 limits false-positive mission aborts.</t>
  </si>
  <si>
    <t>F3 validates fuel compatibility between aircraft.</t>
  </si>
  <si>
    <t>Pump fault detection is not explicitly mapped to any function.</t>
  </si>
  <si>
    <t>Predictive pump analysis is not explicitly mapped.</t>
  </si>
  <si>
    <t>Fuel temperature monitoring is not explicitly mapped.</t>
  </si>
  <si>
    <t>Hydraulic fault speed is not explicitly mapped.</t>
  </si>
  <si>
    <t>F4 isolates faulty sensors during diagnostics.</t>
  </si>
  <si>
    <t>F4 alerts operators of low fuel pressure.</t>
  </si>
  <si>
    <t>Log archive duration is not explicitly mapped.</t>
  </si>
  <si>
    <t>F8</t>
  </si>
  <si>
    <t>F8 displays real-time mission schedules and threat alerts.</t>
  </si>
  <si>
    <t>F8 allows manual override within required speed.</t>
  </si>
  <si>
    <t>F8 includes emergency shutdown controls.</t>
  </si>
  <si>
    <t>F8 provides tactile feedback for critical alerts.</t>
  </si>
  <si>
    <t>F8 supports voice commands.</t>
  </si>
  <si>
    <t>F8 updates graphical data at required refresh rates.</t>
  </si>
  <si>
    <t>F8 displays subsystem health using color codes.</t>
  </si>
  <si>
    <t>F8 supports multilingual interfaces.</t>
  </si>
  <si>
    <t>F8 logs operator actions for auditing.</t>
  </si>
  <si>
    <t>F8 provides haptic feedback for emergencies.</t>
  </si>
  <si>
    <t>F8 updates status displays at required speed.</t>
  </si>
  <si>
    <t>F8 integrates with ground control dashboards.</t>
  </si>
  <si>
    <t>F8 disables non-essential controls during emergencies.</t>
  </si>
  <si>
    <t>F8 provides step-by-step override instructions.</t>
  </si>
  <si>
    <t>F8 allows manual reprioritization of refueling queues.</t>
  </si>
  <si>
    <t>F5 integrates with KC-46 tankers via MIL-STD-1553.</t>
  </si>
  <si>
    <t>F5 supports software updates for future tanker compatibility.</t>
  </si>
  <si>
    <t>F5 complies with MIL-STD-1553 for tanker avionics.</t>
  </si>
  <si>
    <t>F5 maintains integration times with new tanker models.</t>
  </si>
  <si>
    <t>F5 interfaces with tanker power supply.</t>
  </si>
  <si>
    <t>Tanker fuel validation is not explicitly mapped.</t>
  </si>
  <si>
    <t>F5 synchronizes navigation data with tanker waypoints.</t>
  </si>
  <si>
    <t>F5 interfaces with tanker navigation systems.</t>
  </si>
  <si>
    <t>F5 sends tanker health data to ground stations.</t>
  </si>
  <si>
    <t>F5 complies with Link 16 protocols.</t>
  </si>
  <si>
    <t>F5 auto-detects tanker data buses.</t>
  </si>
  <si>
    <t>F5 synchronizes fuel data with tanker logistical systems.</t>
  </si>
  <si>
    <t>F5 ensures low latency for critical tanker commands.</t>
  </si>
  <si>
    <t>F1 processes refueling requests within required time.</t>
  </si>
  <si>
    <t>F1 prioritizes requests based on urgency and mission criticality.</t>
  </si>
  <si>
    <t>F1 generates and broadcasts schedules within required time.</t>
  </si>
  <si>
    <t>F1 dynamically updates schedules in response to disruptions.</t>
  </si>
  <si>
    <t>F1 generates post-mission reports and transmits them to ground control.</t>
  </si>
  <si>
    <t>F1 transmits mission status updates every 30 seconds.</t>
  </si>
  <si>
    <t>#</t>
  </si>
  <si>
    <t>ID</t>
  </si>
  <si>
    <t>Level</t>
  </si>
  <si>
    <t>Name</t>
  </si>
  <si>
    <t>Owner</t>
  </si>
  <si>
    <t/>
  </si>
  <si>
    <t>L1</t>
  </si>
  <si>
    <t>ANGARS Top Level System Behaviors</t>
  </si>
  <si>
    <t>ANGARS Top Level</t>
  </si>
  <si>
    <t>L2</t>
  </si>
  <si>
    <t>F1: Manage Refueling Requests</t>
  </si>
  <si>
    <t>F2: Control Autonomous Docking</t>
  </si>
  <si>
    <t>F3: Execute Fuel Transfer</t>
  </si>
  <si>
    <t>F4: Monitor Safety &amp; Diagnostics</t>
  </si>
  <si>
    <t>F5: Manage Communications</t>
  </si>
  <si>
    <t>F6: Operate in Adverse Conditions</t>
  </si>
  <si>
    <t>F7: Enforce Cybersecurity</t>
  </si>
  <si>
    <t>F8: Manage HMI</t>
  </si>
  <si>
    <t>F1.1</t>
  </si>
  <si>
    <t>L3</t>
  </si>
  <si>
    <t>F1.1: Receive &amp; Authenticate Request</t>
  </si>
  <si>
    <t>F1.2</t>
  </si>
  <si>
    <t>F1.2: Validate Fuel Capacity</t>
  </si>
  <si>
    <t>F1.3</t>
  </si>
  <si>
    <t>F1.3: Prioritize Requests</t>
  </si>
  <si>
    <t>F1.4</t>
  </si>
  <si>
    <t>F1.4: Generate Schedule</t>
  </si>
  <si>
    <t>F1.5</t>
  </si>
  <si>
    <t>F1.5: Update Schedule Dynamically</t>
  </si>
  <si>
    <t>F1.6</t>
  </si>
  <si>
    <t>F1.6: Transmit Status &amp; Reports</t>
  </si>
  <si>
    <t>F2.1</t>
  </si>
  <si>
    <t>F2.1: Receive Aircraft Telemetry</t>
  </si>
  <si>
    <t>F2.2</t>
  </si>
  <si>
    <t>F2.2: Adjust Boom Length &amp; Altitude</t>
  </si>
  <si>
    <t>F2.3</t>
  </si>
  <si>
    <t>F2.3: Calibrate to Fuel Port</t>
  </si>
  <si>
    <t>F2.4</t>
  </si>
  <si>
    <t>F2.4: Align Refueling Probe</t>
  </si>
  <si>
    <t>F2.5</t>
  </si>
  <si>
    <t>F2.5: Stabilize During Turbulence</t>
  </si>
  <si>
    <t>F2.6</t>
  </si>
  <si>
    <t>F2.6: Retract Probe</t>
  </si>
  <si>
    <t>F3.1</t>
  </si>
  <si>
    <t>F3.1: Validate Fuel Compatibility</t>
  </si>
  <si>
    <t>F3.2</t>
  </si>
  <si>
    <t>F3.2: Confirm Fuel Type</t>
  </si>
  <si>
    <t>F3.3</t>
  </si>
  <si>
    <t>F3.3: Initiate Fuel Transfer</t>
  </si>
  <si>
    <t>F3.4</t>
  </si>
  <si>
    <t>F3.4: Monitor Flow &amp; Stability</t>
  </si>
  <si>
    <t>F3.5</t>
  </si>
  <si>
    <t>F3.5: Emergency Shutdown</t>
  </si>
  <si>
    <t>F3.6</t>
  </si>
  <si>
    <t>F3.6: Complete Transfer</t>
  </si>
  <si>
    <t>F3.7</t>
  </si>
  <si>
    <t>F3.7: Adjust Flow Rate</t>
  </si>
  <si>
    <t>F4.1</t>
  </si>
  <si>
    <t>F4.1: Monitor Proximity</t>
  </si>
  <si>
    <t>F4.2</t>
  </si>
  <si>
    <t>F4.2: Check Fuel Integrity</t>
  </si>
  <si>
    <t>F4.3</t>
  </si>
  <si>
    <t>F4.3: Log Failures and Archive Data</t>
  </si>
  <si>
    <t>F4.4</t>
  </si>
  <si>
    <t>F4.4: Manage Fault Recovery</t>
  </si>
  <si>
    <t>F4.5</t>
  </si>
  <si>
    <t>F4.5: Sensor Isolation</t>
  </si>
  <si>
    <t>F4.6</t>
  </si>
  <si>
    <t>F4.6: Send Status Notifications</t>
  </si>
  <si>
    <t>F5.1</t>
  </si>
  <si>
    <t>F5.1: Receive Real-Time Statuses</t>
  </si>
  <si>
    <t>F5.2</t>
  </si>
  <si>
    <t>F5.2: Receive Mission Data</t>
  </si>
  <si>
    <t>F5.3</t>
  </si>
  <si>
    <t>F5.3: Receive Maintenance Operations and Files</t>
  </si>
  <si>
    <t>F5.4</t>
  </si>
  <si>
    <t>F5.4: Send Data</t>
  </si>
  <si>
    <t>F5.5</t>
  </si>
  <si>
    <t>F5.5: Activate Comms Countermeasures</t>
  </si>
  <si>
    <t>F6.1</t>
  </si>
  <si>
    <t>F6.1: Alert System</t>
  </si>
  <si>
    <t>F6.2</t>
  </si>
  <si>
    <t>F6.2: Analyze Environment</t>
  </si>
  <si>
    <t>F6.3</t>
  </si>
  <si>
    <t>F6.3: Analyze GPS</t>
  </si>
  <si>
    <t>F6.4</t>
  </si>
  <si>
    <t>F6.4: Engage Alternate Sensors</t>
  </si>
  <si>
    <t>F6.5</t>
  </si>
  <si>
    <t>F6.5: Send Status</t>
  </si>
  <si>
    <t>F7.1</t>
  </si>
  <si>
    <t>F7.1: Validate Digital Certificates</t>
  </si>
  <si>
    <t>F7.2</t>
  </si>
  <si>
    <t>F7.2: Authenticate Aircraft</t>
  </si>
  <si>
    <t>F7.3</t>
  </si>
  <si>
    <t>F7.3: Terminate Unauthorized Connections</t>
  </si>
  <si>
    <t>F7.4</t>
  </si>
  <si>
    <t>F7.4: Zero-Trust &amp; RF Masking</t>
  </si>
  <si>
    <t>F7.5</t>
  </si>
  <si>
    <t>F7.5: Apply Cryptography</t>
  </si>
  <si>
    <t>F7.6</t>
  </si>
  <si>
    <t>F7.6: Ensure Msg Integrity</t>
  </si>
  <si>
    <t>F7.7</t>
  </si>
  <si>
    <t>F7.7: Re-establish Encryption</t>
  </si>
  <si>
    <t>F7.8</t>
  </si>
  <si>
    <t>F7.8: Erase Data if Tampered</t>
  </si>
  <si>
    <t>F7.9</t>
  </si>
  <si>
    <t>F7.9: Send Threat Mitigation</t>
  </si>
  <si>
    <t>F8.1</t>
  </si>
  <si>
    <t>F8.1: Display Mission Data</t>
  </si>
  <si>
    <t>F8.2</t>
  </si>
  <si>
    <t>F8.2: Receive Operator Input</t>
  </si>
  <si>
    <t>F8.3</t>
  </si>
  <si>
    <t>F8.3: Process Manual Override</t>
  </si>
  <si>
    <t>F8.4</t>
  </si>
  <si>
    <t>F8.4: Execute Emergency Controls</t>
  </si>
  <si>
    <t>F8.5</t>
  </si>
  <si>
    <t>F8.5: Provide Alerts &amp; Feedback</t>
  </si>
  <si>
    <t>F8.6</t>
  </si>
  <si>
    <t>F8.6: Update HMI Displays</t>
  </si>
  <si>
    <t>F8.7</t>
  </si>
  <si>
    <t>F8.7: Subsystem Health &amp; Multilingual Interface Support</t>
  </si>
  <si>
    <t>F8.8</t>
  </si>
  <si>
    <t>F8.8: Logging &amp; Dashboard Integration</t>
  </si>
  <si>
    <t>F8.9</t>
  </si>
  <si>
    <t>F8.9: Reprioritize Refueling Queue</t>
  </si>
  <si>
    <t>Requirements Satisfied</t>
  </si>
  <si>
    <t>Activity Name</t>
  </si>
  <si>
    <t>This activity autonomously starts the fuel transfer process based on sensor inputs, ensuring that refueling proceeds without human intervention.</t>
  </si>
  <si>
    <r>
      <t xml:space="preserve">This L3 behavior marks the completion of fuel transfer and serves as the time-reference point to verify that the overall process meets the specified duration. </t>
    </r>
    <r>
      <rPr>
        <i/>
        <sz val="11"/>
        <color theme="1"/>
        <rFont val="Calibri"/>
        <family val="2"/>
        <scheme val="minor"/>
      </rPr>
      <t>(Note: Timing is managed through performance monitoring at the system level.)</t>
    </r>
  </si>
  <si>
    <t>This behavior continuously checks aircraft proximity and triggers an abort when limits are exceeded, directly meeting the safety abort requirement.</t>
  </si>
  <si>
    <t>This activity accepts and authenticates refueling requests—including aircraft identity verification—before fuel transfer commences.</t>
  </si>
  <si>
    <t>This L3 behavior adjusts control parameters to maintain a stable connection during turbulent conditions.</t>
  </si>
  <si>
    <t>This behavior uses sensor data to achieve the required alignment accuracy between the probe and the fueling port.</t>
  </si>
  <si>
    <t>This activity halts fuel transfer immediately upon leak detection, thereby ensuring safety.</t>
  </si>
  <si>
    <t>This L3 behavior dynamically modifies fuel flow in response to aircraft stability data.</t>
  </si>
  <si>
    <t>This activity manages the safe retraction of the probe immediately after transfer completion.</t>
  </si>
  <si>
    <t>By processing refueling requests from all aircraft types, this activity ensures that procedures are applied uniformly for both manned and unmanned platforms.</t>
  </si>
  <si>
    <t>This behavior adjusts the docking mechanism to account for different aircraft dimensions—including wingspan—ensuring compatibility.</t>
  </si>
  <si>
    <t>This L3 activity modulates fuel flow according to aircraft-specific parameters to optimize the transfer process.</t>
  </si>
  <si>
    <t>This behavior verifies the fuel type prior to transfer to ensure compatibility with the aircraft’s fuel system.</t>
  </si>
  <si>
    <t>This activity checks the aircraft’s fuel capacity during request validation, ensuring that the transfer is feasible.</t>
  </si>
  <si>
    <t>This behavior dynamically modifies boom settings based on altitude data to ensure proper alignment.</t>
  </si>
  <si>
    <t>This L3 activity adjusts the docking system to the specific fuel port configuration of each aircraft.</t>
  </si>
  <si>
    <t>In addition to boom adjustment, this activity adapts altitude settings to match different aircraft profiles.</t>
  </si>
  <si>
    <t>This behavior assesses environmental conditions (including high altitude) and adjusts system operations accordingly.</t>
  </si>
  <si>
    <t>This activity activates alternate sensor modalities (such as inertial or optical) when GPS signals are lost.</t>
  </si>
  <si>
    <t>By continuously monitoring environmental threats, this behavior enables the system to adapt and maintain functionality under EW conditions.</t>
  </si>
  <si>
    <t>This behavior monitors weather conditions and adjusts system parameters to ensure stable operations despite adverse weather.</t>
  </si>
  <si>
    <t>This L3 activity enables alternate navigation methods—including inertial navigation—when GPS signals are unavailable.</t>
  </si>
  <si>
    <t>This behavior switches sensor modalities to optical when environmental visibility is reduced, ensuring continued situational awareness.</t>
  </si>
  <si>
    <t>F6: Operate in Adverse Conditions (L2)</t>
  </si>
  <si>
    <t>Although no discrete L3 exists, the overall “Operate in Adverse Conditions” function inherently prioritizes critical tasks during threats.</t>
  </si>
  <si>
    <t>The overall function includes terrain-based navigation methods to ensure safe operations when GPS is unavailable.</t>
  </si>
  <si>
    <t>By monitoring environmental conditions—including temperature—this activity helps ensure that system operations remain stable within the specified extremes.</t>
  </si>
  <si>
    <t>This behavior continuously evaluates GPS (or alternate positioning) data to maintain the required positional accuracy under challenging conditions.</t>
  </si>
  <si>
    <t>The overall function assesses threat zones and dynamically adjusts mission routes to avoid high-risk areas.</t>
  </si>
  <si>
    <t>F5: Manage Communications (L2)</t>
  </si>
  <si>
    <t>The communications function includes the ability to reroute data via relay satellites when direct links are compromised.</t>
  </si>
  <si>
    <t>This activity ensures that only authenticated aircraft are permitted to exchange data, meeting the pre-communication security requirement.</t>
  </si>
  <si>
    <t>This L3 behavior is responsible for transmitting commands with minimal delay, ensuring that the low-latency requirement is achieved.</t>
  </si>
  <si>
    <t>This behavior activates techniques (including frequency hopping) to mitigate jamming and maintain robust communications.</t>
  </si>
  <si>
    <t>The overall communications function is engineered for high availability and continuous connectivity.</t>
  </si>
  <si>
    <t>This function is designed to maintain high data integrity, ensuring packet loss remains within prescribed limits.</t>
  </si>
  <si>
    <t>This activity actively disconnects any connection that fails authentication, thereby securing the network.</t>
  </si>
  <si>
    <t>This behavior implements RF masking to obscure the system’s signature, supporting covert operations.</t>
  </si>
  <si>
    <t>This L3 activity rigorously checks digital certificates to ensure only trusted entities communicate with the system.</t>
  </si>
  <si>
    <t>This behavior monitors and preserves the integrity of messages during jamming conditions, meeting the high-integrity threshold.</t>
  </si>
  <si>
    <t>By enforcing a zero-trust model, this activity ensures that every access request is verified before communication is allowed.</t>
  </si>
  <si>
    <t>This L3 behavior rapidly restores encryption after any signal loss, ensuring continuous secure communications.</t>
  </si>
  <si>
    <t>This activity immediately erases sensitive data upon detecting tampering and sends an alert to ground control.</t>
  </si>
  <si>
    <t>This behavior applies state-of-the-art cryptographic methods, including quantum-resistant algorithms, to secure communications.</t>
  </si>
  <si>
    <t>This activity ensures that all data exchanges are secured using robust AES‑256 encryption.</t>
  </si>
  <si>
    <r>
      <t>N/A</t>
    </r>
    <r>
      <rPr>
        <sz val="11"/>
        <color theme="1"/>
        <rFont val="Calibri"/>
        <family val="2"/>
        <scheme val="minor"/>
      </rPr>
      <t xml:space="preserve"> – Obstacle detection is verified via the integrated sensor suite and overall system design rather than a discrete L3 behavior.</t>
    </r>
  </si>
  <si>
    <t>This performance requirement is met by the sensor hardware and fusion algorithms implemented at the system level.</t>
  </si>
  <si>
    <r>
      <t>N/A</t>
    </r>
    <r>
      <rPr>
        <sz val="11"/>
        <color theme="1"/>
        <rFont val="Calibri"/>
        <family val="2"/>
        <scheme val="minor"/>
      </rPr>
      <t xml:space="preserve"> – Rerouting is managed by the overall flight control system and collision avoidance algorithms, not by an individual L3 function.</t>
    </r>
  </si>
  <si>
    <t>This requirement is verified during system integration and simulation tests.</t>
  </si>
  <si>
    <r>
      <t>N/A</t>
    </r>
    <r>
      <rPr>
        <sz val="11"/>
        <color theme="1"/>
        <rFont val="Calibri"/>
        <family val="2"/>
        <scheme val="minor"/>
      </rPr>
      <t xml:space="preserve"> – Separation requirements are enforced by the flight control system design and collision avoidance strategies at the system level.</t>
    </r>
  </si>
  <si>
    <t>This is a system‑level safety metric verified through integrated testing.</t>
  </si>
  <si>
    <r>
      <t>N/A</t>
    </r>
    <r>
      <rPr>
        <sz val="11"/>
        <color theme="1"/>
        <rFont val="Calibri"/>
        <family val="2"/>
        <scheme val="minor"/>
      </rPr>
      <t xml:space="preserve"> – The collision risk update frequency is monitored by the integrated safety system rather than a discrete L3 activity.</t>
    </r>
  </si>
  <si>
    <t>This metric is achieved via overall system timing and sensor processing.</t>
  </si>
  <si>
    <r>
      <t>N/A</t>
    </r>
    <r>
      <rPr>
        <sz val="11"/>
        <color theme="1"/>
        <rFont val="Calibri"/>
        <family val="2"/>
        <scheme val="minor"/>
      </rPr>
      <t xml:space="preserve"> – This priority is established by system‑level algorithms within the flight control system, not by a specific L3 behavior.</t>
    </r>
  </si>
  <si>
    <t>Overall system design ensures that safety always takes precedence.</t>
  </si>
  <si>
    <r>
      <t>N/A</t>
    </r>
    <r>
      <rPr>
        <sz val="11"/>
        <color theme="1"/>
        <rFont val="Calibri"/>
        <family val="2"/>
        <scheme val="minor"/>
      </rPr>
      <t xml:space="preserve"> – Detection of foreign objects is handled by the integrated sensor suite and not captured in a discrete L3 function.</t>
    </r>
  </si>
  <si>
    <t>This is verified through sensor calibration and system-level testing.</t>
  </si>
  <si>
    <r>
      <t>N/A</t>
    </r>
    <r>
      <rPr>
        <sz val="11"/>
        <color theme="1"/>
        <rFont val="Calibri"/>
        <family val="2"/>
        <scheme val="minor"/>
      </rPr>
      <t xml:space="preserve"> – False alert limits are maintained by overall signal filtering and sensor data processing algorithms at the system level.</t>
    </r>
  </si>
  <si>
    <t>This performance metric is confirmed during integrated system testing.</t>
  </si>
  <si>
    <r>
      <t>N/A</t>
    </r>
    <r>
      <rPr>
        <sz val="11"/>
        <color theme="1"/>
        <rFont val="Calibri"/>
        <family val="2"/>
        <scheme val="minor"/>
      </rPr>
      <t xml:space="preserve"> – Predictive obstacle algorithms are part of the advanced sensor fusion system and are verified at the system level.</t>
    </r>
  </si>
  <si>
    <t>This requirement is addressed by overall software analytics rather than a single L3 behavior.</t>
  </si>
  <si>
    <r>
      <t>N/A</t>
    </r>
    <r>
      <rPr>
        <sz val="11"/>
        <color theme="1"/>
        <rFont val="Calibri"/>
        <family val="2"/>
        <scheme val="minor"/>
      </rPr>
      <t xml:space="preserve"> – Terrain avoidance is managed by the integrated flight control and sensor fusion systems, not by an individual L3 activity.</t>
    </r>
  </si>
  <si>
    <t>System-level integration ensures safe terrain clearance.</t>
  </si>
  <si>
    <r>
      <t>N/A</t>
    </r>
    <r>
      <rPr>
        <sz val="11"/>
        <color theme="1"/>
        <rFont val="Calibri"/>
        <family val="2"/>
        <scheme val="minor"/>
      </rPr>
      <t xml:space="preserve"> – This statistical performance measure is verified via system-level reliability analysis and testing.</t>
    </r>
  </si>
  <si>
    <t>It is not captured by any discrete L3 behavior.</t>
  </si>
  <si>
    <r>
      <t>N/A</t>
    </r>
    <r>
      <rPr>
        <sz val="11"/>
        <color theme="1"/>
        <rFont val="Calibri"/>
        <family val="2"/>
        <scheme val="minor"/>
      </rPr>
      <t xml:space="preserve"> – Redundancy for fuel pumps is a hardware design requirement verified at the system level.</t>
    </r>
  </si>
  <si>
    <t>It is ensured by overall system architecture rather than by a functional behavior.</t>
  </si>
  <si>
    <r>
      <t>N/A</t>
    </r>
    <r>
      <rPr>
        <sz val="11"/>
        <color theme="1"/>
        <rFont val="Calibri"/>
        <family val="2"/>
        <scheme val="minor"/>
      </rPr>
      <t xml:space="preserve"> – This safety feature is implemented in the system’s power management architecture.</t>
    </r>
  </si>
  <si>
    <t>It is verified through system-level fault and power-loss testing.</t>
  </si>
  <si>
    <r>
      <t>N/A</t>
    </r>
    <r>
      <rPr>
        <sz val="11"/>
        <color theme="1"/>
        <rFont val="Calibri"/>
        <family val="2"/>
        <scheme val="minor"/>
      </rPr>
      <t xml:space="preserve"> – This is an architectural redundancy requirement confirmed by overall system design reviews.</t>
    </r>
  </si>
  <si>
    <t>It is not represented by a specific L3 behavior.</t>
  </si>
  <si>
    <r>
      <t>N/A</t>
    </r>
    <r>
      <rPr>
        <sz val="11"/>
        <color theme="1"/>
        <rFont val="Calibri"/>
        <family val="2"/>
        <scheme val="minor"/>
      </rPr>
      <t xml:space="preserve"> – Backup power is provided by the overall power system design and is verified at the system level.</t>
    </r>
  </si>
  <si>
    <t>This requirement is met by hardware design, not a discrete L3 function.</t>
  </si>
  <si>
    <r>
      <t>N/A</t>
    </r>
    <r>
      <rPr>
        <sz val="11"/>
        <color theme="1"/>
        <rFont val="Calibri"/>
        <family val="2"/>
        <scheme val="minor"/>
      </rPr>
      <t xml:space="preserve"> – Hydraulic isolation is managed by system‑level diagnostic and hardware control processes.</t>
    </r>
  </si>
  <si>
    <t>It is verified through integrated safety tests.</t>
  </si>
  <si>
    <r>
      <t>N/A</t>
    </r>
    <r>
      <rPr>
        <sz val="11"/>
        <color theme="1"/>
        <rFont val="Calibri"/>
        <family val="2"/>
        <scheme val="minor"/>
      </rPr>
      <t xml:space="preserve"> – Dual data buses are a design requirement addressed by the system architecture and not by a functional L3 behavior.</t>
    </r>
  </si>
  <si>
    <t>It is confirmed during system integration testing.</t>
  </si>
  <si>
    <r>
      <t>N/A</t>
    </r>
    <r>
      <rPr>
        <sz val="11"/>
        <color theme="1"/>
        <rFont val="Calibri"/>
        <family val="2"/>
        <scheme val="minor"/>
      </rPr>
      <t xml:space="preserve"> – Fail-safe locks are implemented in the mechanical design and verified via hardware testing.</t>
    </r>
  </si>
  <si>
    <t>They are not represented as an L3 functional activity.</t>
  </si>
  <si>
    <r>
      <t>N/A</t>
    </r>
    <r>
      <rPr>
        <sz val="11"/>
        <color theme="1"/>
        <rFont val="Calibri"/>
        <family val="2"/>
        <scheme val="minor"/>
      </rPr>
      <t xml:space="preserve"> – Redundant IMUs are a hardware requirement ensured by the system’s overall design and testing.</t>
    </r>
  </si>
  <si>
    <t>This requirement is verified at the system level.</t>
  </si>
  <si>
    <t>This behavior gathers and transmits post‑mission data that are used to verify that mission success rates meet the required threshold.</t>
  </si>
  <si>
    <t>This activity records failures and archives diagnostic information for later analysis.</t>
  </si>
  <si>
    <t>This L3 behavior is designed to detect faults and rapidly restore operations within the specified timeframe.</t>
  </si>
  <si>
    <t>F4: Monitor Safety &amp; Diagnostics (L2)</t>
  </si>
  <si>
    <t>The integrated safety function is designed to minimize false aborts through robust diagnostic checks.</t>
  </si>
  <si>
    <r>
      <t>F4.3: Log Failures and Archive Data</t>
    </r>
    <r>
      <rPr>
        <sz val="11"/>
        <color theme="1"/>
        <rFont val="Calibri"/>
        <family val="2"/>
        <scheme val="minor"/>
      </rPr>
      <t xml:space="preserve"> – This behavior archives mission and diagnostic data for the required retention period.</t>
    </r>
  </si>
  <si>
    <r>
      <t>F1.6: Transmit Status &amp; Reports</t>
    </r>
    <r>
      <rPr>
        <sz val="11"/>
        <color theme="1"/>
        <rFont val="Calibri"/>
        <family val="2"/>
        <scheme val="minor"/>
      </rPr>
      <t xml:space="preserve"> – This activity compiles and sends detailed post-mission reports, thereby satisfying the reporting requirement.</t>
    </r>
  </si>
  <si>
    <t>This behavior sends status notifications to operators in real-time, ensuring timely updates on mission success or failure.</t>
  </si>
  <si>
    <t>This behavior helps to minimize false mission aborts by accurately logging and notifying operators about the mission status.</t>
  </si>
  <si>
    <t>This activity ensures that only compatible fuel types are used, validating the compatibility of the fuel before the transfer begins.</t>
  </si>
  <si>
    <r>
      <t>N/A</t>
    </r>
    <r>
      <rPr>
        <sz val="11"/>
        <color theme="1"/>
        <rFont val="Calibri"/>
        <family val="2"/>
        <scheme val="minor"/>
      </rPr>
      <t xml:space="preserve"> – Fault detection is part of the integrated diagnostic system and not covered by an individual L3 behavior.</t>
    </r>
  </si>
  <si>
    <t>Fault detection is part of the overall system functionality for monitoring and preventing pump failures.</t>
  </si>
  <si>
    <r>
      <t>N/A</t>
    </r>
    <r>
      <rPr>
        <sz val="11"/>
        <color theme="1"/>
        <rFont val="Calibri"/>
        <family val="2"/>
        <scheme val="minor"/>
      </rPr>
      <t xml:space="preserve"> – Predictive pump analysis is verified at the system level and not represented by a discrete L3 behavior.</t>
    </r>
  </si>
  <si>
    <t>This is verified through system testing, where the predictive maintenance algorithms are tested across a variety of operational conditions.</t>
  </si>
  <si>
    <r>
      <t>N/A</t>
    </r>
    <r>
      <rPr>
        <sz val="11"/>
        <color theme="1"/>
        <rFont val="Calibri"/>
        <family val="2"/>
        <scheme val="minor"/>
      </rPr>
      <t xml:space="preserve"> – Fuel temperature monitoring is part of the integrated sensor suite.</t>
    </r>
  </si>
  <si>
    <t>This is confirmed through sensor calibration and overall system-level testing.</t>
  </si>
  <si>
    <r>
      <t>N/A</t>
    </r>
    <r>
      <rPr>
        <sz val="11"/>
        <color theme="1"/>
        <rFont val="Calibri"/>
        <family val="2"/>
        <scheme val="minor"/>
      </rPr>
      <t xml:space="preserve"> – Hydraulic fault detection is part of the overall diagnostic system.</t>
    </r>
  </si>
  <si>
    <t>Verified during integrated testing where hydraulic system responses are monitored for speed and accuracy.</t>
  </si>
  <si>
    <t>This behavior isolates faulty sensors to prevent them from impacting system diagnostics, ensuring accurate analysis and continued operation.</t>
  </si>
  <si>
    <t>This behavior sends alerts to operators in real-time if fuel pressure falls below safe levels.</t>
  </si>
  <si>
    <t>This activity ensures that diagnostic logs are stored for long-term retention, meeting the archival requirements.</t>
  </si>
  <si>
    <r>
      <t>N/A</t>
    </r>
    <r>
      <rPr>
        <sz val="11"/>
        <color theme="1"/>
        <rFont val="Calibri"/>
        <family val="2"/>
        <scheme val="minor"/>
      </rPr>
      <t xml:space="preserve"> – Compliance with FAA standards is verified at the system design and regulatory compliance level, not via a specific L3 activity.</t>
    </r>
  </si>
  <si>
    <t>Verified through system-level certification processes and regulatory review.</t>
  </si>
  <si>
    <r>
      <t>N/A</t>
    </r>
    <r>
      <rPr>
        <sz val="11"/>
        <color theme="1"/>
        <rFont val="Calibri"/>
        <family val="2"/>
        <scheme val="minor"/>
      </rPr>
      <t xml:space="preserve"> – Compliance is verified through safety audits and system reviews rather than by an individual L3 behavior.</t>
    </r>
  </si>
  <si>
    <t>Achieved through formal safety assessments and certification procedures.</t>
  </si>
  <si>
    <t>This behavior applies security measures such as zero-trust and RF masking to comply with NATO cybersecurity standards.</t>
  </si>
  <si>
    <r>
      <t>N/A</t>
    </r>
    <r>
      <rPr>
        <sz val="11"/>
        <color theme="1"/>
        <rFont val="Calibri"/>
        <family val="2"/>
        <scheme val="minor"/>
      </rPr>
      <t xml:space="preserve"> – EMI compliance is tested during system integration and verified at the hardware and system level.</t>
    </r>
  </si>
  <si>
    <t>Verified through electromagnetic compatibility (EMC) testing as part of the system certification process.</t>
  </si>
  <si>
    <t>This activity ensures compliance with secure communication protocols, including those required by STANAG 4406.</t>
  </si>
  <si>
    <t>F7: Enforce Cybersecurity (L2)</t>
  </si>
  <si>
    <t>The overall cybersecurity strategy ensures that penetration tests reveal no vulnerabilities, securing the system against cyber threats.</t>
  </si>
  <si>
    <r>
      <t>N/A</t>
    </r>
    <r>
      <rPr>
        <sz val="11"/>
        <color theme="1"/>
        <rFont val="Calibri"/>
        <family val="2"/>
        <scheme val="minor"/>
      </rPr>
      <t xml:space="preserve"> – Compliance with ICAO standards is verified through regulatory testing and audits.</t>
    </r>
  </si>
  <si>
    <t>Achieved through the system’s design and certification against ICAO standards.</t>
  </si>
  <si>
    <r>
      <t>N/A</t>
    </r>
    <r>
      <rPr>
        <sz val="11"/>
        <color theme="1"/>
        <rFont val="Calibri"/>
        <family val="2"/>
        <scheme val="minor"/>
      </rPr>
      <t xml:space="preserve"> – Compliance is verified through software certification processes rather than specific L3 activities.</t>
    </r>
  </si>
  <si>
    <t>Verified through formal software certification procedures as per DO-178C.</t>
  </si>
  <si>
    <t>This activity involves detecting jamming attempts and activating countermeasures to secure communications, ensuring the system meets the detection time requirements.</t>
  </si>
  <si>
    <t>This behavior activates countermeasures to protect the system during airborne threats, addressing the threat response requirements.</t>
  </si>
  <si>
    <t>This behavior ensures that, in the event of a cybersecurity breach, impacted systems are isolated and the issue is communicated for further mitigation.</t>
  </si>
  <si>
    <t>This activity identifies and mitigates spoofed GPS signals, ensuring operational integrity within the required timeframes.</t>
  </si>
  <si>
    <t>This behavior helps to contain potential cyber threats by disabling non-critical systems and ensuring that tampered data is erased.</t>
  </si>
  <si>
    <t>This activity ensures that jamming signals are identified and mitigated within the required timeframes, ensuring communication resilience.</t>
  </si>
  <si>
    <t>This behavior ensures continuous communication availability during threat conditions, contributing to high threat uptime.</t>
  </si>
  <si>
    <t>This activity includes logging all threat events and responses to provide a record for future analysis.</t>
  </si>
  <si>
    <t>This behavior supports the rapid transmission of countermeasure updates in response to new threats.</t>
  </si>
  <si>
    <t>This activity ensures that threat alerts are prioritized and communicated in real-time during operational disruptions.</t>
  </si>
  <si>
    <r>
      <t>N/A</t>
    </r>
    <r>
      <rPr>
        <sz val="11"/>
        <color theme="1"/>
        <rFont val="Calibri"/>
        <family val="2"/>
        <scheme val="minor"/>
      </rPr>
      <t xml:space="preserve"> – This is verified through annual testing and certification processes.</t>
    </r>
  </si>
  <si>
    <t>Autonomous systems are regularly tested against defined protocols to ensure compliance.</t>
  </si>
  <si>
    <r>
      <t>N/A</t>
    </r>
    <r>
      <rPr>
        <sz val="11"/>
        <color theme="1"/>
        <rFont val="Calibri"/>
        <family val="2"/>
        <scheme val="minor"/>
      </rPr>
      <t xml:space="preserve"> – Sensor accuracy is validated through calibration processes.</t>
    </r>
  </si>
  <si>
    <t>Sensor accuracy is checked and validated as part of system integration testing.</t>
  </si>
  <si>
    <r>
      <t>N/A</t>
    </r>
    <r>
      <rPr>
        <sz val="11"/>
        <color theme="1"/>
        <rFont val="Calibri"/>
        <family val="2"/>
        <scheme val="minor"/>
      </rPr>
      <t xml:space="preserve"> – Software updates are tested in a sandbox environment during development.</t>
    </r>
  </si>
  <si>
    <t>This is verified as part of software development lifecycle testing.</t>
  </si>
  <si>
    <r>
      <t>N/A</t>
    </r>
    <r>
      <rPr>
        <sz val="11"/>
        <color theme="1"/>
        <rFont val="Calibri"/>
        <family val="2"/>
        <scheme val="minor"/>
      </rPr>
      <t xml:space="preserve"> – Algorithm coverage is verified through comprehensive testing of software modules.</t>
    </r>
  </si>
  <si>
    <t>Verified through testing protocols for autonomous software, ensuring compliance with DO-178C.</t>
  </si>
  <si>
    <r>
      <t>N/A</t>
    </r>
    <r>
      <rPr>
        <sz val="11"/>
        <color theme="1"/>
        <rFont val="Calibri"/>
        <family val="2"/>
        <scheme val="minor"/>
      </rPr>
      <t xml:space="preserve"> – Sensor calibration is part of the system maintenance process and not represented by an individual L3 activity.</t>
    </r>
  </si>
  <si>
    <t>This is verified through periodic system-level checks and calibration processes.</t>
  </si>
  <si>
    <r>
      <t>N/A</t>
    </r>
    <r>
      <rPr>
        <sz val="11"/>
        <color theme="1"/>
        <rFont val="Calibri"/>
        <family val="2"/>
        <scheme val="minor"/>
      </rPr>
      <t xml:space="preserve"> – Software integrity is verified through pre-deployment verification processes.</t>
    </r>
  </si>
  <si>
    <t>This is verified through checksum comparison as part of software deployment procedures.</t>
  </si>
  <si>
    <r>
      <t>N/A</t>
    </r>
    <r>
      <rPr>
        <sz val="11"/>
        <color theme="1"/>
        <rFont val="Calibri"/>
        <family val="2"/>
        <scheme val="minor"/>
      </rPr>
      <t xml:space="preserve"> – Hardware durability testing is part of the system qualification process and not a discrete L3 function.</t>
    </r>
  </si>
  <si>
    <t>Confirmed through hardware qualification testing to ensure it meets required operational hours.</t>
  </si>
  <si>
    <t>This behavior ensures that the HMI displays mission schedules and updates to operators, meeting the real-time display requirement.</t>
  </si>
  <si>
    <t>This activity ensures that manual override commands are processed within the required timeframes.</t>
  </si>
  <si>
    <t>This behavior includes an emergency shutdown process, ensuring operators can quickly disable systems in case of an emergency.</t>
  </si>
  <si>
    <t>This activity includes providing haptic feedback to operators, alerting them to critical mission statuses.</t>
  </si>
  <si>
    <t>This behavior allows operators to input voice commands to control the system, meeting the requirement for voice command support.</t>
  </si>
  <si>
    <t>This activity ensures that graphical data displayed on the HMI is updated at the required refresh rates, meeting the refresh rate requirement.</t>
  </si>
  <si>
    <t>This activity allows for the display of subsystem health in real-time using color codes as defined in the standard.</t>
  </si>
  <si>
    <t>This behavior ensures that the HMI supports multiple languages to assist operators from different regions.</t>
  </si>
  <si>
    <t>This activity logs operator actions and system context to ensure proper auditing and system performance tracking.</t>
  </si>
  <si>
    <t>This behavior ensures that operators receive tactile feedback when critical alerts are triggered.</t>
  </si>
  <si>
    <t>This activity ensures that status displays on the HMI are updated at the required intervals to provide timely information.</t>
  </si>
  <si>
    <t>This behavior integrates the HMI with ground control dashboards, ensuring that data is synchronized between systems.</t>
  </si>
  <si>
    <t>This activity locks down non-essential controls to prevent interference with critical emergency procedures.</t>
  </si>
  <si>
    <t>This behavior ensures that operators are provided with clear instructions for performing manual override in case of emergency.</t>
  </si>
  <si>
    <t>This behavior allows operators to adjust refueling priorities manually to accommodate emergencies or urgent operational needs.</t>
  </si>
  <si>
    <r>
      <t>N/A</t>
    </r>
    <r>
      <rPr>
        <sz val="11"/>
        <color theme="1"/>
        <rFont val="Calibri"/>
        <family val="2"/>
        <scheme val="minor"/>
      </rPr>
      <t xml:space="preserve"> – Managed at the system maintenance level.</t>
    </r>
  </si>
  <si>
    <t>This requirement pertains to maintenance and logistics rather than a specific functional behavior. It is verified via sustainment processes.</t>
  </si>
  <si>
    <r>
      <t>N/A</t>
    </r>
    <r>
      <rPr>
        <sz val="11"/>
        <color theme="1"/>
        <rFont val="Calibri"/>
        <family val="2"/>
        <scheme val="minor"/>
      </rPr>
      <t xml:space="preserve"> – Managed at the system architecture level.</t>
    </r>
  </si>
  <si>
    <t>The modularity of subsystems is ensured through system design and validated during integration and testing.</t>
  </si>
  <si>
    <t>The system is designed for maintainability, and this is confirmed through reliability and maintenance evaluations.</t>
  </si>
  <si>
    <r>
      <t>N/A</t>
    </r>
    <r>
      <rPr>
        <sz val="11"/>
        <color theme="1"/>
        <rFont val="Calibri"/>
        <family val="2"/>
        <scheme val="minor"/>
      </rPr>
      <t xml:space="preserve"> – Addressed at the program management level.</t>
    </r>
  </si>
  <si>
    <t>This requirement is managed through lifecycle planning and sustainment strategies, not functional behavior.</t>
  </si>
  <si>
    <t>Lifecycle costs are estimated through financial modeling and cost analysis rather than functional system behavior.</t>
  </si>
  <si>
    <r>
      <t>N/A</t>
    </r>
    <r>
      <rPr>
        <sz val="11"/>
        <color theme="1"/>
        <rFont val="Calibri"/>
        <family val="2"/>
        <scheme val="minor"/>
      </rPr>
      <t xml:space="preserve"> – Managed through training programs.</t>
    </r>
  </si>
  <si>
    <t>This is ensured through development of training materials and simulation environments for maintenance personnel.</t>
  </si>
  <si>
    <r>
      <t>N/A</t>
    </r>
    <r>
      <rPr>
        <sz val="11"/>
        <color theme="1"/>
        <rFont val="Calibri"/>
        <family val="2"/>
        <scheme val="minor"/>
      </rPr>
      <t xml:space="preserve"> – Managed through logistics and technical documentation.</t>
    </r>
  </si>
  <si>
    <t>Repair procedures are documented as part of system sustainment and are verified during testing and validation.</t>
  </si>
  <si>
    <t>This behavior ensures data and control integration with KC-46 avionics and refueling systems.</t>
  </si>
  <si>
    <t>This behavior ensures that software updates can be transmitted and applied to maintain compatibility with evolving tanker platforms.</t>
  </si>
  <si>
    <t>This function ensures compliance with MIL-STD-1553 by managing the required communication protocols.</t>
  </si>
  <si>
    <t>This behavior facilitates fast software and communication protocol updates for rapid integration with new tanker models.</t>
  </si>
  <si>
    <r>
      <t>N/A</t>
    </r>
    <r>
      <rPr>
        <sz val="11"/>
        <color theme="1"/>
        <rFont val="Calibri"/>
        <family val="2"/>
        <scheme val="minor"/>
      </rPr>
      <t xml:space="preserve"> – Managed at the hardware design level.</t>
    </r>
  </si>
  <si>
    <t>Power compatibility is a hardware requirement verified through system integration testing.</t>
  </si>
  <si>
    <r>
      <t>N/A</t>
    </r>
    <r>
      <rPr>
        <sz val="11"/>
        <color theme="1"/>
        <rFont val="Calibri"/>
        <family val="2"/>
        <scheme val="minor"/>
      </rPr>
      <t xml:space="preserve"> – Managed through onboard fuel monitoring systems.</t>
    </r>
  </si>
  <si>
    <t>Fuel validation is verified through sensor readings and automated system checks before operations.</t>
  </si>
  <si>
    <t>This behavior ensures that navigation data is synchronized with the tanker’s flight path.</t>
  </si>
  <si>
    <t>This function ensures proper interfacing with tanker navigation systems through data exchange protocols.</t>
  </si>
  <si>
    <t>This behavior enables the transmission of tanker system status to ground control stations.</t>
  </si>
  <si>
    <t>This function ensures adherence to Link 16 protocols for secure and reliable communication.</t>
  </si>
  <si>
    <t>This behavior allows the system to identify and configure its interfaces to match the tanker’s data buses.</t>
  </si>
  <si>
    <t>This function ensures that fuel status and transfer data are synchronized with tanker logistical records.</t>
  </si>
  <si>
    <t>This behavior ensures low-latency communication for tanker command and control operations.</t>
  </si>
  <si>
    <t>This is verified through system-level weight and space allocation analysis.</t>
  </si>
  <si>
    <t>This behavior ensures that fuel is transferred at the required rate using onboard flow control mechanisms.</t>
  </si>
  <si>
    <t>This behavior ensures that system downtime metrics are logged and reported accurately for analysis.</t>
  </si>
  <si>
    <t>This function prioritizes refueling schedules to optimize fuel transfer efficiency.</t>
  </si>
  <si>
    <t>This behavior ensures fuel is dispensed at an optimal rate to minimize waste.</t>
  </si>
  <si>
    <t>This function monitors and adjusts the flow rate to ensure precise fuel transfer accuracy.</t>
  </si>
  <si>
    <t>This behavior stabilizes fuel transfer to minimize turbulence effects on the receiving aircraft.</t>
  </si>
  <si>
    <t>This function ensures that the fuel being transferred meets the required quality standards.</t>
  </si>
  <si>
    <t>This behavior ensures that once the fuel transfer is complete, the system logs and transmits completion status to relevant parties.</t>
  </si>
  <si>
    <t>This function ensures that refueling is dynamically prioritized based on aircraft fuel levels and operational needs.</t>
  </si>
  <si>
    <t>This function logs system health data, allowing for predictive analysis of maintenance needs to prevent failures.</t>
  </si>
  <si>
    <t>This behavior ensures that all refueling requests are validated and processed efficiently in real-time.</t>
  </si>
  <si>
    <t>This function implements logic for dynamically prioritizing refueling requests based on mission urgency.</t>
  </si>
  <si>
    <t>This behavior ensures that refueling schedules are generated and communicated in a timely manner to optimize operations.</t>
  </si>
  <si>
    <t>This function ensures that refueling schedules can be adapted dynamically to accommodate real-time operational changes.</t>
  </si>
  <si>
    <t>This function ensures that post-mission reports are compiled and sent to ground control within the required timeframe.</t>
  </si>
  <si>
    <t>This behavior ensures that mission status updates are sent periodically to maintain situational awareness for operators.</t>
  </si>
  <si>
    <t>Reason</t>
  </si>
  <si>
    <t>Lower Functional</t>
  </si>
  <si>
    <t>F1: Manage Refueling Requests_THIS</t>
  </si>
  <si>
    <t>F2: Control Autonomous Docking_THIS</t>
  </si>
  <si>
    <t>F2: Control Autonomous Docking_THIS
F3: Execute Fuel Transfer_THIS</t>
  </si>
  <si>
    <t>F4: Monitor Safety &amp; Diagnostics_THIS</t>
  </si>
  <si>
    <t>F3: Execute Fuel Transfer_THIS
F4: Monitor Safety &amp; Diagnostics_THIS</t>
  </si>
  <si>
    <t>F3: Execute Fuel Transfer_THIS</t>
  </si>
  <si>
    <t>F6: Operate in Adverse Conditions_THIS</t>
  </si>
  <si>
    <t>F5: Manage Communications_THIS</t>
  </si>
  <si>
    <t>F7: Enforce Cybersecurity_THIS</t>
  </si>
  <si>
    <t>F1: Manage Refueling Requests_THIS
F2: Control Autonomous Docking_THIS
F3: Execute Fuel Transfer_THIS</t>
  </si>
  <si>
    <t>F8: Manage HMI_THIS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</si>
</sst>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rgb="FF9C5700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3" fillId="3" borderId="0" xfId="1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6" fillId="5" borderId="2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2">
    <cellStyle name="Neutral" xfId="1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C63F-B061-4610-9F73-02E8B767B063}">
  <sheetPr filterMode="1"/>
  <dimension ref="A1:S156"/>
  <sheetViews>
    <sheetView tabSelected="1" topLeftCell="B19" zoomScale="85" zoomScaleNormal="85" workbookViewId="0">
      <selection activeCell="N30" sqref="N30"/>
    </sheetView>
  </sheetViews>
  <sheetFormatPr defaultColWidth="11" defaultRowHeight="15" x14ac:dyDescent="0.25"/>
  <cols>
    <col min="1" max="1" width="9.42578125" style="4" hidden="1" customWidth="1"/>
    <col min="2" max="2" width="13.140625" customWidth="1"/>
    <col min="3" max="3" width="1.140625" style="9" customWidth="1"/>
    <col min="4" max="4" width="12.140625" style="4" bestFit="1" customWidth="1"/>
    <col min="5" max="5" width="28.28515625" hidden="1" customWidth="1"/>
    <col min="6" max="6" width="44.140625" hidden="1" customWidth="1"/>
    <col min="7" max="7" width="2.140625" style="9" hidden="1" customWidth="1"/>
    <col min="8" max="8" width="13.85546875" hidden="1" customWidth="1"/>
    <col min="9" max="9" width="14.140625" hidden="1" customWidth="1"/>
    <col min="10" max="10" width="16.140625" hidden="1" customWidth="1"/>
    <col min="11" max="11" width="2.42578125" style="9" hidden="1" customWidth="1"/>
    <col min="12" max="12" width="31" hidden="1" customWidth="1"/>
    <col min="13" max="13" width="34.140625" hidden="1" customWidth="1"/>
    <col min="14" max="14" width="34" customWidth="1"/>
    <col min="15" max="15" width="53.140625" customWidth="1"/>
  </cols>
  <sheetData>
    <row r="1" spans="1:19" x14ac:dyDescent="0.25">
      <c r="B1" s="12" t="s">
        <v>512</v>
      </c>
      <c r="D1" s="20" t="s">
        <v>513</v>
      </c>
      <c r="E1" s="20"/>
      <c r="F1" s="20"/>
      <c r="H1" s="21" t="s">
        <v>514</v>
      </c>
      <c r="I1" s="21"/>
      <c r="J1" s="21"/>
      <c r="K1" s="13"/>
      <c r="L1" s="21" t="s">
        <v>18</v>
      </c>
      <c r="M1" s="21"/>
      <c r="N1" s="21"/>
      <c r="O1" s="21"/>
    </row>
    <row r="2" spans="1:19" ht="30" x14ac:dyDescent="0.25">
      <c r="A2" s="4" t="s">
        <v>189</v>
      </c>
      <c r="B2" s="1" t="s">
        <v>23</v>
      </c>
      <c r="C2" s="7"/>
      <c r="D2" s="4" t="s">
        <v>191</v>
      </c>
      <c r="E2" s="1" t="s">
        <v>502</v>
      </c>
      <c r="F2" s="1" t="s">
        <v>16</v>
      </c>
      <c r="G2" s="7"/>
      <c r="H2" s="1" t="s">
        <v>25</v>
      </c>
      <c r="I2" s="1" t="s">
        <v>15</v>
      </c>
      <c r="J2" s="1" t="s">
        <v>17</v>
      </c>
      <c r="K2" s="7"/>
      <c r="L2" s="1" t="s">
        <v>510</v>
      </c>
      <c r="M2" s="1" t="s">
        <v>511</v>
      </c>
      <c r="N2" s="1" t="s">
        <v>946</v>
      </c>
      <c r="O2" s="1" t="s">
        <v>945</v>
      </c>
    </row>
    <row r="3" spans="1:19" ht="45" x14ac:dyDescent="0.25">
      <c r="A3" s="4">
        <v>1</v>
      </c>
      <c r="B3" s="2" t="s">
        <v>0</v>
      </c>
      <c r="C3" s="8"/>
      <c r="D3" s="4" t="s">
        <v>201</v>
      </c>
      <c r="E3" s="2" t="s">
        <v>355</v>
      </c>
      <c r="F3" s="3" t="s">
        <v>64</v>
      </c>
      <c r="G3" s="10"/>
      <c r="H3" s="2" t="s">
        <v>26</v>
      </c>
      <c r="I3" s="2" t="s">
        <v>27</v>
      </c>
      <c r="J3" s="2" t="s">
        <v>20</v>
      </c>
      <c r="K3" s="8"/>
      <c r="L3" s="2" t="str">
        <f>VLOOKUP(D3,VLOOKUP!A:D,2,FALSE)</f>
        <v>F2: Control Autonomous Docking_THIS
F3: Execute Fuel Transfer_THIS</v>
      </c>
      <c r="M3" s="2" t="str">
        <f>VLOOKUP(D3,VLOOKUP!A:D,3,FALSE)</f>
        <v>F2 (autonomous docking) and F3 (fuel transfer) enable refueling without human intervention.</v>
      </c>
      <c r="N3" s="2" t="str">
        <f>VLOOKUP(Final!D3,'Satisfied By'!A:E,4,FALSE)</f>
        <v>F3.3: Initiate Fuel Transfer</v>
      </c>
      <c r="O3" s="2" t="str">
        <f>VLOOKUP(Final!D3,'Satisfied By'!A:E,5,FALSE)</f>
        <v>This activity autonomously starts the fuel transfer process based on sensor inputs, ensuring that refueling proceeds without human intervention.</v>
      </c>
      <c r="P3" s="2"/>
      <c r="Q3" s="2"/>
      <c r="R3" s="2"/>
      <c r="S3" s="2"/>
    </row>
    <row r="4" spans="1:19" ht="75" x14ac:dyDescent="0.25">
      <c r="A4" s="4">
        <v>6</v>
      </c>
      <c r="B4" s="2" t="s">
        <v>0</v>
      </c>
      <c r="C4" s="8"/>
      <c r="D4" s="4" t="s">
        <v>202</v>
      </c>
      <c r="E4" s="2" t="s">
        <v>356</v>
      </c>
      <c r="F4" s="2" t="s">
        <v>65</v>
      </c>
      <c r="G4" s="8"/>
      <c r="H4" s="2" t="s">
        <v>26</v>
      </c>
      <c r="I4" s="2" t="s">
        <v>31</v>
      </c>
      <c r="J4" s="2" t="s">
        <v>21</v>
      </c>
      <c r="K4" s="8"/>
      <c r="L4" s="2" t="str">
        <f>VLOOKUP(D4,VLOOKUP!A:D,2,FALSE)</f>
        <v>None</v>
      </c>
      <c r="M4" s="2" t="str">
        <f>VLOOKUP(D4,VLOOKUP!A:D,3,FALSE)</f>
        <v>Refueling time is a performance metric not captured in functional flows.</v>
      </c>
      <c r="N4" s="2" t="str">
        <f>VLOOKUP(Final!D4,'Satisfied By'!A:E,4,FALSE)</f>
        <v>F3.6: Complete Transfer</v>
      </c>
      <c r="O4" s="2" t="str">
        <f>VLOOKUP(Final!D4,'Satisfied By'!A:E,5,FALSE)</f>
        <v>This L3 behavior marks the completion of fuel transfer and serves as the time-reference point to verify that the overall process meets the specified duration. (Note: Timing is managed through performance monitoring at the system level.)</v>
      </c>
      <c r="P4" s="2"/>
      <c r="Q4" s="2"/>
      <c r="R4" s="2"/>
      <c r="S4" s="2"/>
    </row>
    <row r="5" spans="1:19" ht="45" x14ac:dyDescent="0.25">
      <c r="A5" s="4">
        <v>9</v>
      </c>
      <c r="B5" s="2" t="s">
        <v>0</v>
      </c>
      <c r="C5" s="8"/>
      <c r="D5" s="4" t="s">
        <v>203</v>
      </c>
      <c r="E5" s="2" t="s">
        <v>357</v>
      </c>
      <c r="F5" s="2" t="s">
        <v>62</v>
      </c>
      <c r="G5" s="8"/>
      <c r="H5" s="2" t="s">
        <v>26</v>
      </c>
      <c r="I5" s="2" t="s">
        <v>27</v>
      </c>
      <c r="J5" s="2" t="s">
        <v>21</v>
      </c>
      <c r="K5" s="8"/>
      <c r="L5" s="2" t="str">
        <f>VLOOKUP(D5,VLOOKUP!A:D,2,FALSE)</f>
        <v>F4: Monitor Safety &amp; Diagnostics_THIS</v>
      </c>
      <c r="M5" s="2" t="str">
        <f>VLOOKUP(D5,VLOOKUP!A:D,3,FALSE)</f>
        <v>F4 monitors proximity and triggers safety abort via alerts to F2/F3.</v>
      </c>
      <c r="N5" s="2" t="str">
        <f>VLOOKUP(Final!D5,'Satisfied By'!A:E,4,FALSE)</f>
        <v>F4.1: Monitor Proximity</v>
      </c>
      <c r="O5" s="2" t="str">
        <f>VLOOKUP(Final!D5,'Satisfied By'!A:E,5,FALSE)</f>
        <v>This behavior continuously checks aircraft proximity and triggers an abort when limits are exceeded, directly meeting the safety abort requirement.</v>
      </c>
      <c r="P5" s="2"/>
      <c r="Q5" s="2"/>
      <c r="R5" s="2"/>
      <c r="S5" s="2"/>
    </row>
    <row r="6" spans="1:19" ht="45" x14ac:dyDescent="0.25">
      <c r="A6" s="4">
        <v>13</v>
      </c>
      <c r="B6" s="2" t="s">
        <v>0</v>
      </c>
      <c r="C6" s="8"/>
      <c r="D6" s="4" t="s">
        <v>204</v>
      </c>
      <c r="E6" s="2" t="s">
        <v>358</v>
      </c>
      <c r="F6" s="2" t="s">
        <v>63</v>
      </c>
      <c r="G6" s="8"/>
      <c r="H6" s="2" t="s">
        <v>26</v>
      </c>
      <c r="I6" s="2" t="s">
        <v>27</v>
      </c>
      <c r="J6" s="2" t="s">
        <v>20</v>
      </c>
      <c r="K6" s="8"/>
      <c r="L6" s="2" t="str">
        <f>VLOOKUP(D6,VLOOKUP!A:D,2,FALSE)</f>
        <v>F1: Manage Refueling Requests_THIS</v>
      </c>
      <c r="M6" s="2" t="str">
        <f>VLOOKUP(D6,VLOOKUP!A:D,3,FALSE)</f>
        <v>F1 verifies aircraft identity during refueling request processing.</v>
      </c>
      <c r="N6" s="2" t="str">
        <f>VLOOKUP(Final!D6,'Satisfied By'!A:E,4,FALSE)</f>
        <v>F1.1: Receive &amp; Authenticate Request</v>
      </c>
      <c r="O6" s="2" t="str">
        <f>VLOOKUP(Final!D6,'Satisfied By'!A:E,5,FALSE)</f>
        <v>This activity accepts and authenticates refueling requests—including aircraft identity verification—before fuel transfer commences.</v>
      </c>
      <c r="P6" s="2"/>
      <c r="Q6" s="2"/>
      <c r="R6" s="2"/>
      <c r="S6" s="2"/>
    </row>
    <row r="7" spans="1:19" ht="45" x14ac:dyDescent="0.25">
      <c r="A7" s="4">
        <v>16</v>
      </c>
      <c r="B7" s="2" t="s">
        <v>0</v>
      </c>
      <c r="C7" s="8"/>
      <c r="D7" s="4" t="s">
        <v>205</v>
      </c>
      <c r="E7" s="2" t="s">
        <v>359</v>
      </c>
      <c r="F7" s="2" t="s">
        <v>67</v>
      </c>
      <c r="G7" s="8"/>
      <c r="H7" s="2" t="s">
        <v>26</v>
      </c>
      <c r="I7" s="2" t="s">
        <v>27</v>
      </c>
      <c r="J7" s="2" t="s">
        <v>21</v>
      </c>
      <c r="K7" s="8"/>
      <c r="L7" s="2" t="str">
        <f>VLOOKUP(D7,VLOOKUP!A:D,2,FALSE)</f>
        <v>F2: Control Autonomous Docking_THIS</v>
      </c>
      <c r="M7" s="2" t="str">
        <f>VLOOKUP(D7,VLOOKUP!A:D,3,FALSE)</f>
        <v>F2 stabilizes the connection during turbulence using guidance signals from F6.</v>
      </c>
      <c r="N7" s="2" t="str">
        <f>VLOOKUP(Final!D7,'Satisfied By'!A:E,4,FALSE)</f>
        <v>F2.5: Stabilize During Turbulence</v>
      </c>
      <c r="O7" s="2" t="str">
        <f>VLOOKUP(Final!D7,'Satisfied By'!A:E,5,FALSE)</f>
        <v>This L3 behavior adjusts control parameters to maintain a stable connection during turbulent conditions.</v>
      </c>
      <c r="P7" s="2"/>
      <c r="Q7" s="2"/>
      <c r="R7" s="2"/>
      <c r="S7" s="2"/>
    </row>
    <row r="8" spans="1:19" ht="45" x14ac:dyDescent="0.25">
      <c r="A8" s="4">
        <v>19</v>
      </c>
      <c r="B8" s="2" t="s">
        <v>0</v>
      </c>
      <c r="C8" s="8"/>
      <c r="D8" s="4" t="s">
        <v>206</v>
      </c>
      <c r="E8" s="2" t="s">
        <v>360</v>
      </c>
      <c r="F8" s="2" t="s">
        <v>68</v>
      </c>
      <c r="G8" s="8"/>
      <c r="H8" s="2" t="s">
        <v>26</v>
      </c>
      <c r="I8" s="2" t="s">
        <v>31</v>
      </c>
      <c r="J8" s="2" t="s">
        <v>21</v>
      </c>
      <c r="K8" s="8"/>
      <c r="L8" s="2" t="str">
        <f>VLOOKUP(D8,VLOOKUP!A:D,2,FALSE)</f>
        <v>F2: Control Autonomous Docking_THIS</v>
      </c>
      <c r="M8" s="2" t="str">
        <f>VLOOKUP(D8,VLOOKUP!A:D,3,FALSE)</f>
        <v>F2 aligns the probe within accuracy bounds using F6’s navigation signals.</v>
      </c>
      <c r="N8" s="2" t="str">
        <f>VLOOKUP(Final!D8,'Satisfied By'!A:E,4,FALSE)</f>
        <v>F2.4: Align Refueling Probe</v>
      </c>
      <c r="O8" s="2" t="str">
        <f>VLOOKUP(Final!D8,'Satisfied By'!A:E,5,FALSE)</f>
        <v>This behavior uses sensor data to achieve the required alignment accuracy between the probe and the fueling port.</v>
      </c>
      <c r="P8" s="2"/>
      <c r="Q8" s="2"/>
      <c r="R8" s="2"/>
      <c r="S8" s="2"/>
    </row>
    <row r="9" spans="1:19" ht="30" x14ac:dyDescent="0.25">
      <c r="A9" s="4">
        <v>22</v>
      </c>
      <c r="B9" s="2" t="s">
        <v>0</v>
      </c>
      <c r="C9" s="8"/>
      <c r="D9" s="4" t="s">
        <v>207</v>
      </c>
      <c r="E9" s="2" t="s">
        <v>361</v>
      </c>
      <c r="F9" s="2" t="s">
        <v>66</v>
      </c>
      <c r="G9" s="8"/>
      <c r="H9" s="2" t="s">
        <v>26</v>
      </c>
      <c r="I9" s="2" t="s">
        <v>27</v>
      </c>
      <c r="J9" s="2" t="s">
        <v>21</v>
      </c>
      <c r="K9" s="8"/>
      <c r="L9" s="2" t="str">
        <f>VLOOKUP(D9,VLOOKUP!A:D,2,FALSE)</f>
        <v>F3: Execute Fuel Transfer_THIS
F4: Monitor Safety &amp; Diagnostics_THIS</v>
      </c>
      <c r="M9" s="2" t="str">
        <f>VLOOKUP(D9,VLOOKUP!A:D,3,FALSE)</f>
        <v>F3 detects leaks and stops transfer; F4 logs diagnostics.</v>
      </c>
      <c r="N9" s="2" t="str">
        <f>VLOOKUP(Final!D9,'Satisfied By'!A:E,4,FALSE)</f>
        <v>F3.5: Emergency Shutdown</v>
      </c>
      <c r="O9" s="2" t="str">
        <f>VLOOKUP(Final!D9,'Satisfied By'!A:E,5,FALSE)</f>
        <v>This activity halts fuel transfer immediately upon leak detection, thereby ensuring safety.</v>
      </c>
      <c r="P9" s="2"/>
      <c r="Q9" s="2"/>
      <c r="R9" s="2"/>
      <c r="S9" s="2"/>
    </row>
    <row r="10" spans="1:19" ht="30" x14ac:dyDescent="0.25">
      <c r="A10" s="4">
        <v>25</v>
      </c>
      <c r="B10" s="2" t="s">
        <v>0</v>
      </c>
      <c r="C10" s="8"/>
      <c r="D10" s="4" t="s">
        <v>208</v>
      </c>
      <c r="E10" s="2" t="s">
        <v>362</v>
      </c>
      <c r="F10" s="2" t="s">
        <v>69</v>
      </c>
      <c r="G10" s="8"/>
      <c r="H10" s="2" t="s">
        <v>26</v>
      </c>
      <c r="I10" s="2" t="s">
        <v>29</v>
      </c>
      <c r="J10" s="2" t="s">
        <v>22</v>
      </c>
      <c r="K10" s="8"/>
      <c r="L10" s="2" t="str">
        <f>VLOOKUP(D10,VLOOKUP!A:D,2,FALSE)</f>
        <v>F3: Execute Fuel Transfer_THIS</v>
      </c>
      <c r="M10" s="2" t="str">
        <f>VLOOKUP(D10,VLOOKUP!A:D,3,FALSE)</f>
        <v>F3 adjusts fuel speed based on stability data from F2.</v>
      </c>
      <c r="N10" s="2" t="str">
        <f>VLOOKUP(Final!D10,'Satisfied By'!A:E,4,FALSE)</f>
        <v>F3.7: Adjust Flow Rate</v>
      </c>
      <c r="O10" s="2" t="str">
        <f>VLOOKUP(Final!D10,'Satisfied By'!A:E,5,FALSE)</f>
        <v>This L3 behavior dynamically modifies fuel flow in response to aircraft stability data.</v>
      </c>
      <c r="P10" s="2"/>
      <c r="Q10" s="2"/>
      <c r="R10" s="2"/>
      <c r="S10" s="2"/>
    </row>
    <row r="11" spans="1:19" ht="30" x14ac:dyDescent="0.25">
      <c r="A11" s="4">
        <v>28</v>
      </c>
      <c r="B11" s="2" t="s">
        <v>0</v>
      </c>
      <c r="C11" s="8"/>
      <c r="D11" s="4" t="s">
        <v>209</v>
      </c>
      <c r="E11" s="2" t="s">
        <v>363</v>
      </c>
      <c r="F11" s="2" t="s">
        <v>72</v>
      </c>
      <c r="G11" s="8"/>
      <c r="H11" s="2" t="s">
        <v>26</v>
      </c>
      <c r="I11" s="2" t="s">
        <v>27</v>
      </c>
      <c r="J11" s="2" t="s">
        <v>20</v>
      </c>
      <c r="K11" s="8"/>
      <c r="L11" s="2" t="str">
        <f>VLOOKUP(D11,VLOOKUP!A:D,2,FALSE)</f>
        <v>F2: Control Autonomous Docking_THIS</v>
      </c>
      <c r="M11" s="2" t="str">
        <f>VLOOKUP(D11,VLOOKUP!A:D,3,FALSE)</f>
        <v>F2 retracts the probe after F3 confirms fuel transfer completion.</v>
      </c>
      <c r="N11" s="2" t="str">
        <f>VLOOKUP(Final!D11,'Satisfied By'!A:E,4,FALSE)</f>
        <v>F2.6: Retract Probe</v>
      </c>
      <c r="O11" s="2" t="str">
        <f>VLOOKUP(Final!D11,'Satisfied By'!A:E,5,FALSE)</f>
        <v>This activity manages the safe retraction of the probe immediately after transfer completion.</v>
      </c>
      <c r="P11" s="2"/>
      <c r="Q11" s="2"/>
      <c r="R11" s="2"/>
      <c r="S11" s="2"/>
    </row>
    <row r="12" spans="1:19" ht="45" x14ac:dyDescent="0.25">
      <c r="A12" s="4">
        <v>2</v>
      </c>
      <c r="B12" s="2" t="s">
        <v>28</v>
      </c>
      <c r="C12" s="8"/>
      <c r="D12" s="4" t="s">
        <v>210</v>
      </c>
      <c r="E12" s="2" t="s">
        <v>364</v>
      </c>
      <c r="F12" s="2" t="s">
        <v>73</v>
      </c>
      <c r="G12" s="8"/>
      <c r="H12" s="2" t="s">
        <v>26</v>
      </c>
      <c r="I12" s="2" t="s">
        <v>29</v>
      </c>
      <c r="J12" s="2" t="s">
        <v>21</v>
      </c>
      <c r="K12" s="8"/>
      <c r="L12" s="2" t="str">
        <f>VLOOKUP(D12,VLOOKUP!A:D,2,FALSE)</f>
        <v>F1: Manage Refueling Requests_THIS</v>
      </c>
      <c r="M12" s="2" t="str">
        <f>VLOOKUP(D12,VLOOKUP!A:D,3,FALSE)</f>
        <v>F1 handles refueling requests for both manned and unmanned aircraft.</v>
      </c>
      <c r="N12" s="2" t="str">
        <f>VLOOKUP(Final!D12,'Satisfied By'!A:E,4,FALSE)</f>
        <v>F1.1: Receive &amp; Authenticate Request</v>
      </c>
      <c r="O12" s="2" t="str">
        <f>VLOOKUP(Final!D12,'Satisfied By'!A:E,5,FALSE)</f>
        <v>By processing refueling requests from all aircraft types, this activity ensures that procedures are applied uniformly for both manned and unmanned platforms.</v>
      </c>
      <c r="P12" s="2"/>
      <c r="Q12" s="2"/>
      <c r="R12" s="2"/>
      <c r="S12" s="2"/>
    </row>
    <row r="13" spans="1:19" ht="45" x14ac:dyDescent="0.25">
      <c r="A13" s="4">
        <v>31</v>
      </c>
      <c r="B13" s="2" t="s">
        <v>6</v>
      </c>
      <c r="C13" s="8"/>
      <c r="D13" s="4" t="s">
        <v>211</v>
      </c>
      <c r="E13" s="2" t="s">
        <v>365</v>
      </c>
      <c r="F13" s="2" t="s">
        <v>163</v>
      </c>
      <c r="G13" s="8"/>
      <c r="H13" s="2" t="s">
        <v>18</v>
      </c>
      <c r="I13" s="2" t="s">
        <v>27</v>
      </c>
      <c r="J13" s="2" t="s">
        <v>21</v>
      </c>
      <c r="K13" s="8"/>
      <c r="L13" s="2" t="str">
        <f>VLOOKUP(D13,VLOOKUP!A:D,2,FALSE)</f>
        <v>F2: Control Autonomous Docking_THIS</v>
      </c>
      <c r="M13" s="2" t="str">
        <f>VLOOKUP(D13,VLOOKUP!A:D,3,FALSE)</f>
        <v>F2 adjusts docking procedures for wingspan compatibility.</v>
      </c>
      <c r="N13" s="2" t="str">
        <f>VLOOKUP(Final!D13,'Satisfied By'!A:E,4,FALSE)</f>
        <v>F2.2: Adjust Boom Length &amp; Altitude</v>
      </c>
      <c r="O13" s="2" t="str">
        <f>VLOOKUP(Final!D13,'Satisfied By'!A:E,5,FALSE)</f>
        <v>This behavior adjusts the docking mechanism to account for different aircraft dimensions—including wingspan—ensuring compatibility.</v>
      </c>
      <c r="P13" s="2"/>
      <c r="Q13" s="2"/>
      <c r="R13" s="2"/>
      <c r="S13" s="2"/>
    </row>
    <row r="14" spans="1:19" ht="30" x14ac:dyDescent="0.25">
      <c r="A14" s="4">
        <v>32</v>
      </c>
      <c r="B14" s="2" t="s">
        <v>6</v>
      </c>
      <c r="C14" s="8"/>
      <c r="D14" s="4" t="s">
        <v>212</v>
      </c>
      <c r="E14" s="2" t="s">
        <v>366</v>
      </c>
      <c r="F14" s="2" t="s">
        <v>120</v>
      </c>
      <c r="G14" s="8"/>
      <c r="H14" s="2" t="s">
        <v>18</v>
      </c>
      <c r="I14" s="2" t="s">
        <v>29</v>
      </c>
      <c r="J14" s="2" t="s">
        <v>20</v>
      </c>
      <c r="K14" s="8"/>
      <c r="L14" s="2" t="str">
        <f>VLOOKUP(D14,VLOOKUP!A:D,2,FALSE)</f>
        <v>F3: Execute Fuel Transfer_THIS</v>
      </c>
      <c r="M14" s="2" t="str">
        <f>VLOOKUP(D14,VLOOKUP!A:D,3,FALSE)</f>
        <v>F3 adapts fuel flow rate based on aircraft type/properties.</v>
      </c>
      <c r="N14" s="2" t="str">
        <f>VLOOKUP(Final!D14,'Satisfied By'!A:E,4,FALSE)</f>
        <v>F3.7: Adjust Flow Rate</v>
      </c>
      <c r="O14" s="2" t="str">
        <f>VLOOKUP(Final!D14,'Satisfied By'!A:E,5,FALSE)</f>
        <v>This L3 activity modulates fuel flow according to aircraft-specific parameters to optimize the transfer process.</v>
      </c>
      <c r="P14" s="2"/>
      <c r="Q14" s="2"/>
      <c r="R14" s="2"/>
      <c r="S14" s="2"/>
    </row>
    <row r="15" spans="1:19" ht="30" x14ac:dyDescent="0.25">
      <c r="A15" s="4">
        <v>38</v>
      </c>
      <c r="B15" s="2" t="s">
        <v>6</v>
      </c>
      <c r="C15" s="8"/>
      <c r="D15" s="4" t="s">
        <v>213</v>
      </c>
      <c r="E15" s="2" t="s">
        <v>367</v>
      </c>
      <c r="F15" s="2" t="s">
        <v>121</v>
      </c>
      <c r="G15" s="8"/>
      <c r="H15" s="2" t="s">
        <v>18</v>
      </c>
      <c r="I15" s="2" t="s">
        <v>31</v>
      </c>
      <c r="J15" s="2" t="s">
        <v>24</v>
      </c>
      <c r="K15" s="8"/>
      <c r="L15" s="2" t="str">
        <f>VLOOKUP(D15,VLOOKUP!A:D,2,FALSE)</f>
        <v>F3: Execute Fuel Transfer_THIS</v>
      </c>
      <c r="M15" s="2" t="str">
        <f>VLOOKUP(D15,VLOOKUP!A:D,3,FALSE)</f>
        <v>F3 validates fuel type compatibility before transfer.</v>
      </c>
      <c r="N15" s="2" t="str">
        <f>VLOOKUP(Final!D15,'Satisfied By'!A:E,4,FALSE)</f>
        <v>F3.2: Confirm Fuel Type</v>
      </c>
      <c r="O15" s="2" t="str">
        <f>VLOOKUP(Final!D15,'Satisfied By'!A:E,5,FALSE)</f>
        <v>This behavior verifies the fuel type prior to transfer to ensure compatibility with the aircraft’s fuel system.</v>
      </c>
      <c r="P15" s="2"/>
      <c r="Q15" s="2"/>
      <c r="R15" s="2"/>
      <c r="S15" s="2"/>
    </row>
    <row r="16" spans="1:19" ht="30" x14ac:dyDescent="0.25">
      <c r="A16" s="4">
        <v>42</v>
      </c>
      <c r="B16" s="2" t="s">
        <v>6</v>
      </c>
      <c r="C16" s="8"/>
      <c r="D16" s="4" t="s">
        <v>214</v>
      </c>
      <c r="E16" s="2" t="s">
        <v>368</v>
      </c>
      <c r="F16" s="2" t="s">
        <v>122</v>
      </c>
      <c r="G16" s="8"/>
      <c r="H16" s="2" t="s">
        <v>18</v>
      </c>
      <c r="I16" s="2" t="s">
        <v>27</v>
      </c>
      <c r="J16" s="2" t="s">
        <v>20</v>
      </c>
      <c r="K16" s="8"/>
      <c r="L16" s="2" t="str">
        <f>VLOOKUP(D16,VLOOKUP!A:D,2,FALSE)</f>
        <v>F1: Manage Refueling Requests_THIS</v>
      </c>
      <c r="M16" s="2" t="str">
        <f>VLOOKUP(D16,VLOOKUP!A:D,3,FALSE)</f>
        <v>F1 checks fuel capacity during request validation.</v>
      </c>
      <c r="N16" s="2" t="str">
        <f>VLOOKUP(Final!D16,'Satisfied By'!A:E,4,FALSE)</f>
        <v>F1.2: Validate Fuel Capacity</v>
      </c>
      <c r="O16" s="2" t="str">
        <f>VLOOKUP(Final!D16,'Satisfied By'!A:E,5,FALSE)</f>
        <v>This activity checks the aircraft’s fuel capacity during request validation, ensuring that the transfer is feasible.</v>
      </c>
      <c r="P16" s="2"/>
      <c r="Q16" s="2"/>
      <c r="R16" s="2"/>
      <c r="S16" s="2"/>
    </row>
    <row r="17" spans="1:19" ht="45" x14ac:dyDescent="0.25">
      <c r="A17" s="4">
        <v>46</v>
      </c>
      <c r="B17" s="2" t="s">
        <v>6</v>
      </c>
      <c r="C17" s="8"/>
      <c r="D17" s="4" t="s">
        <v>215</v>
      </c>
      <c r="E17" s="2" t="s">
        <v>369</v>
      </c>
      <c r="F17" s="2" t="s">
        <v>123</v>
      </c>
      <c r="G17" s="8"/>
      <c r="H17" s="2" t="s">
        <v>18</v>
      </c>
      <c r="I17" s="2" t="s">
        <v>27</v>
      </c>
      <c r="J17" s="2" t="s">
        <v>20</v>
      </c>
      <c r="K17" s="8"/>
      <c r="L17" s="2" t="str">
        <f>VLOOKUP(D17,VLOOKUP!A:D,2,FALSE)</f>
        <v>F2: Control Autonomous Docking_THIS</v>
      </c>
      <c r="M17" s="2" t="str">
        <f>VLOOKUP(D17,VLOOKUP!A:D,3,FALSE)</f>
        <v>F2 adjusts boom length for altitude differences.</v>
      </c>
      <c r="N17" s="2" t="str">
        <f>VLOOKUP(Final!D17,'Satisfied By'!A:E,4,FALSE)</f>
        <v>F2.2: Adjust Boom Length &amp; Altitude</v>
      </c>
      <c r="O17" s="2" t="str">
        <f>VLOOKUP(Final!D17,'Satisfied By'!A:E,5,FALSE)</f>
        <v>This behavior dynamically modifies boom settings based on altitude data to ensure proper alignment.</v>
      </c>
      <c r="P17" s="2"/>
      <c r="Q17" s="2"/>
      <c r="R17" s="2"/>
      <c r="S17" s="2"/>
    </row>
    <row r="18" spans="1:19" ht="45" x14ac:dyDescent="0.25">
      <c r="A18" s="4">
        <v>50</v>
      </c>
      <c r="B18" s="2" t="s">
        <v>6</v>
      </c>
      <c r="C18" s="8"/>
      <c r="D18" s="4" t="s">
        <v>216</v>
      </c>
      <c r="E18" s="2" t="s">
        <v>370</v>
      </c>
      <c r="F18" s="2" t="s">
        <v>124</v>
      </c>
      <c r="G18" s="8"/>
      <c r="H18" s="2" t="s">
        <v>18</v>
      </c>
      <c r="I18" s="2" t="s">
        <v>29</v>
      </c>
      <c r="J18" s="2" t="s">
        <v>22</v>
      </c>
      <c r="K18" s="8"/>
      <c r="L18" s="2" t="str">
        <f>VLOOKUP(D18,VLOOKUP!A:D,2,FALSE)</f>
        <v>F2: Control Autonomous Docking_THIS</v>
      </c>
      <c r="M18" s="2" t="str">
        <f>VLOOKUP(D18,VLOOKUP!A:D,3,FALSE)</f>
        <v>F2 calibrates to fuel port configurations during docking.</v>
      </c>
      <c r="N18" s="2" t="str">
        <f>VLOOKUP(Final!D18,'Satisfied By'!A:E,4,FALSE)</f>
        <v>F2.3: Calibrate to Fuel Port</v>
      </c>
      <c r="O18" s="2" t="str">
        <f>VLOOKUP(Final!D18,'Satisfied By'!A:E,5,FALSE)</f>
        <v>This L3 activity adjusts the docking system to the specific fuel port configuration of each aircraft.</v>
      </c>
      <c r="P18" s="2"/>
      <c r="Q18" s="2"/>
      <c r="R18" s="2"/>
      <c r="S18" s="2"/>
    </row>
    <row r="19" spans="1:19" ht="30" x14ac:dyDescent="0.25">
      <c r="A19" s="4">
        <v>54</v>
      </c>
      <c r="B19" s="2" t="s">
        <v>6</v>
      </c>
      <c r="C19" s="8"/>
      <c r="D19" s="4" t="s">
        <v>217</v>
      </c>
      <c r="E19" s="2" t="s">
        <v>371</v>
      </c>
      <c r="F19" s="2" t="s">
        <v>125</v>
      </c>
      <c r="G19" s="8"/>
      <c r="H19" s="2" t="s">
        <v>18</v>
      </c>
      <c r="I19" s="2" t="s">
        <v>29</v>
      </c>
      <c r="J19" s="2" t="s">
        <v>22</v>
      </c>
      <c r="K19" s="8"/>
      <c r="L19" s="2" t="str">
        <f>VLOOKUP(D19,VLOOKUP!A:D,2,FALSE)</f>
        <v>F2: Control Autonomous Docking_THIS</v>
      </c>
      <c r="M19" s="2" t="str">
        <f>VLOOKUP(D19,VLOOKUP!A:D,3,FALSE)</f>
        <v>F2 adjusts altitude based on aircraft type.</v>
      </c>
      <c r="N19" s="2" t="str">
        <f>VLOOKUP(Final!D19,'Satisfied By'!A:E,4,FALSE)</f>
        <v>F2.2: Adjust Boom Length &amp; Altitude</v>
      </c>
      <c r="O19" s="2" t="str">
        <f>VLOOKUP(Final!D19,'Satisfied By'!A:E,5,FALSE)</f>
        <v>In addition to boom adjustment, this activity adapts altitude settings to match different aircraft profiles.</v>
      </c>
      <c r="P19" s="2"/>
      <c r="Q19" s="2"/>
      <c r="R19" s="2"/>
      <c r="S19" s="2"/>
    </row>
    <row r="20" spans="1:19" ht="45" x14ac:dyDescent="0.25">
      <c r="A20" s="4">
        <v>58</v>
      </c>
      <c r="B20" s="2" t="s">
        <v>6</v>
      </c>
      <c r="C20" s="8"/>
      <c r="D20" s="4" t="s">
        <v>218</v>
      </c>
      <c r="E20" s="2" t="s">
        <v>372</v>
      </c>
      <c r="F20" s="2" t="s">
        <v>126</v>
      </c>
      <c r="G20" s="8"/>
      <c r="H20" s="2" t="s">
        <v>18</v>
      </c>
      <c r="I20" s="2" t="s">
        <v>31</v>
      </c>
      <c r="J20" s="2" t="s">
        <v>21</v>
      </c>
      <c r="K20" s="8"/>
      <c r="L20" s="2" t="str">
        <f>VLOOKUP(D20,VLOOKUP!A:D,2,FALSE)</f>
        <v>F6: Operate in Adverse Conditions_THIS</v>
      </c>
      <c r="M20" s="2" t="str">
        <f>VLOOKUP(D20,VLOOKUP!A:D,3,FALSE)</f>
        <v>F6 supports high-altitude refueling via environmental adaptation.</v>
      </c>
      <c r="N20" s="2" t="str">
        <f>VLOOKUP(Final!D20,'Satisfied By'!A:E,4,FALSE)</f>
        <v>F6.2: Analyze Environment</v>
      </c>
      <c r="O20" s="2" t="str">
        <f>VLOOKUP(Final!D20,'Satisfied By'!A:E,5,FALSE)</f>
        <v>This behavior assesses environmental conditions (including high altitude) and adjusts system operations accordingly.</v>
      </c>
      <c r="P20" s="2"/>
      <c r="Q20" s="2"/>
      <c r="R20" s="2"/>
      <c r="S20" s="2"/>
    </row>
    <row r="21" spans="1:19" ht="45" x14ac:dyDescent="0.25">
      <c r="A21" s="4">
        <v>3</v>
      </c>
      <c r="B21" s="2" t="s">
        <v>4</v>
      </c>
      <c r="C21" s="8"/>
      <c r="D21" s="4" t="s">
        <v>219</v>
      </c>
      <c r="E21" s="2" t="s">
        <v>373</v>
      </c>
      <c r="F21" s="2" t="s">
        <v>127</v>
      </c>
      <c r="G21" s="8"/>
      <c r="H21" s="2" t="s">
        <v>26</v>
      </c>
      <c r="I21" s="2" t="s">
        <v>27</v>
      </c>
      <c r="J21" s="2" t="s">
        <v>21</v>
      </c>
      <c r="K21" s="8"/>
      <c r="L21" s="2" t="str">
        <f>VLOOKUP(D21,VLOOKUP!A:D,2,FALSE)</f>
        <v>F6: Operate in Adverse Conditions_THIS</v>
      </c>
      <c r="M21" s="2" t="str">
        <f>VLOOKUP(D21,VLOOKUP!A:D,3,FALSE)</f>
        <v>F6 switches to inertial/terrain navigation in GPS-denied mode.</v>
      </c>
      <c r="N21" s="2" t="str">
        <f>VLOOKUP(Final!D21,'Satisfied By'!A:E,4,FALSE)</f>
        <v>F6.4: Engage Alternate Sensors</v>
      </c>
      <c r="O21" s="2" t="str">
        <f>VLOOKUP(Final!D21,'Satisfied By'!A:E,5,FALSE)</f>
        <v>This activity activates alternate sensor modalities (such as inertial or optical) when GPS signals are lost.</v>
      </c>
      <c r="P21" s="2"/>
      <c r="Q21" s="2"/>
      <c r="R21" s="2"/>
      <c r="S21" s="2"/>
    </row>
    <row r="22" spans="1:19" ht="45" x14ac:dyDescent="0.25">
      <c r="A22" s="4">
        <v>4</v>
      </c>
      <c r="B22" s="2" t="s">
        <v>4</v>
      </c>
      <c r="C22" s="8"/>
      <c r="D22" s="4" t="s">
        <v>220</v>
      </c>
      <c r="E22" s="2" t="s">
        <v>374</v>
      </c>
      <c r="F22" s="2" t="s">
        <v>30</v>
      </c>
      <c r="G22" s="8"/>
      <c r="H22" s="2" t="s">
        <v>26</v>
      </c>
      <c r="I22" s="2" t="s">
        <v>29</v>
      </c>
      <c r="J22" s="2" t="s">
        <v>22</v>
      </c>
      <c r="K22" s="8"/>
      <c r="L22" s="2" t="str">
        <f>VLOOKUP(D22,VLOOKUP!A:D,2,FALSE)</f>
        <v>F6: Operate in Adverse Conditions_THIS</v>
      </c>
      <c r="M22" s="2" t="str">
        <f>VLOOKUP(D22,VLOOKUP!A:D,3,FALSE)</f>
        <v>F6 maintains functionality during electronic warfare.</v>
      </c>
      <c r="N22" s="2" t="str">
        <f>VLOOKUP(Final!D22,'Satisfied By'!A:E,4,FALSE)</f>
        <v>F6.2: Analyze Environment</v>
      </c>
      <c r="O22" s="2" t="str">
        <f>VLOOKUP(Final!D22,'Satisfied By'!A:E,5,FALSE)</f>
        <v>By continuously monitoring environmental threats, this behavior enables the system to adapt and maintain functionality under EW conditions.</v>
      </c>
      <c r="P22" s="2"/>
      <c r="Q22" s="2"/>
      <c r="R22" s="2"/>
      <c r="S22" s="2"/>
    </row>
    <row r="23" spans="1:19" ht="45" x14ac:dyDescent="0.25">
      <c r="A23" s="4">
        <v>7</v>
      </c>
      <c r="B23" s="2" t="s">
        <v>4</v>
      </c>
      <c r="C23" s="8"/>
      <c r="D23" s="4" t="s">
        <v>221</v>
      </c>
      <c r="E23" s="2" t="s">
        <v>375</v>
      </c>
      <c r="F23" s="2" t="s">
        <v>128</v>
      </c>
      <c r="G23" s="8"/>
      <c r="H23" s="2" t="s">
        <v>26</v>
      </c>
      <c r="I23" s="2" t="s">
        <v>27</v>
      </c>
      <c r="J23" s="2" t="s">
        <v>20</v>
      </c>
      <c r="K23" s="8"/>
      <c r="L23" s="2" t="str">
        <f>VLOOKUP(D23,VLOOKUP!A:D,2,FALSE)</f>
        <v>F6: Operate in Adverse Conditions_THIS</v>
      </c>
      <c r="M23" s="2" t="str">
        <f>VLOOKUP(D23,VLOOKUP!A:D,3,FALSE)</f>
        <v>F6 operates in adverse weather without degradation.</v>
      </c>
      <c r="N23" s="2" t="str">
        <f>VLOOKUP(Final!D23,'Satisfied By'!A:E,4,FALSE)</f>
        <v>F6.2: Analyze Environment</v>
      </c>
      <c r="O23" s="2" t="str">
        <f>VLOOKUP(Final!D23,'Satisfied By'!A:E,5,FALSE)</f>
        <v>This behavior monitors weather conditions and adjusts system parameters to ensure stable operations despite adverse weather.</v>
      </c>
      <c r="P23" s="2"/>
      <c r="Q23" s="2"/>
      <c r="R23" s="2"/>
      <c r="S23" s="2"/>
    </row>
    <row r="24" spans="1:19" ht="45" x14ac:dyDescent="0.25">
      <c r="A24" s="4">
        <v>10</v>
      </c>
      <c r="B24" s="2" t="s">
        <v>4</v>
      </c>
      <c r="C24" s="8"/>
      <c r="D24" s="4" t="s">
        <v>222</v>
      </c>
      <c r="E24" s="2" t="s">
        <v>376</v>
      </c>
      <c r="F24" s="2" t="s">
        <v>129</v>
      </c>
      <c r="G24" s="8"/>
      <c r="H24" s="2" t="s">
        <v>26</v>
      </c>
      <c r="I24" s="2" t="s">
        <v>29</v>
      </c>
      <c r="J24" s="2" t="s">
        <v>20</v>
      </c>
      <c r="K24" s="8"/>
      <c r="L24" s="2" t="str">
        <f>VLOOKUP(D24,VLOOKUP!A:D,2,FALSE)</f>
        <v>F6: Operate in Adverse Conditions_THIS</v>
      </c>
      <c r="M24" s="2" t="str">
        <f>VLOOKUP(D24,VLOOKUP!A:D,3,FALSE)</f>
        <v>F6 uses inertial navigation when GPS is unavailable.</v>
      </c>
      <c r="N24" s="2" t="str">
        <f>VLOOKUP(Final!D24,'Satisfied By'!A:E,4,FALSE)</f>
        <v>F6.4: Engage Alternate Sensors</v>
      </c>
      <c r="O24" s="2" t="str">
        <f>VLOOKUP(Final!D24,'Satisfied By'!A:E,5,FALSE)</f>
        <v>This L3 activity enables alternate navigation methods—including inertial navigation—when GPS signals are unavailable.</v>
      </c>
      <c r="P24" s="2"/>
      <c r="Q24" s="2"/>
      <c r="R24" s="2"/>
      <c r="S24" s="2"/>
    </row>
    <row r="25" spans="1:19" ht="45" x14ac:dyDescent="0.25">
      <c r="A25" s="4">
        <v>11</v>
      </c>
      <c r="B25" s="2" t="s">
        <v>4</v>
      </c>
      <c r="C25" s="8"/>
      <c r="D25" s="4" t="s">
        <v>223</v>
      </c>
      <c r="E25" s="2" t="s">
        <v>377</v>
      </c>
      <c r="F25" s="2" t="s">
        <v>34</v>
      </c>
      <c r="G25" s="8"/>
      <c r="H25" s="2" t="s">
        <v>26</v>
      </c>
      <c r="I25" s="2" t="s">
        <v>27</v>
      </c>
      <c r="J25" s="2" t="s">
        <v>21</v>
      </c>
      <c r="K25" s="8"/>
      <c r="L25" s="2" t="str">
        <f>VLOOKUP(D25,VLOOKUP!A:D,2,FALSE)</f>
        <v>F6: Operate in Adverse Conditions_THIS</v>
      </c>
      <c r="M25" s="2" t="str">
        <f>VLOOKUP(D25,VLOOKUP!A:D,3,FALSE)</f>
        <v>F6 switches to optical sensors in low visibility.</v>
      </c>
      <c r="N25" s="2" t="str">
        <f>VLOOKUP(Final!D25,'Satisfied By'!A:E,4,FALSE)</f>
        <v>F6.4: Engage Alternate Sensors</v>
      </c>
      <c r="O25" s="2" t="str">
        <f>VLOOKUP(Final!D25,'Satisfied By'!A:E,5,FALSE)</f>
        <v>This behavior switches sensor modalities to optical when environmental visibility is reduced, ensuring continued situational awareness.</v>
      </c>
      <c r="P25" s="2"/>
      <c r="Q25" s="2"/>
      <c r="R25" s="2"/>
      <c r="S25" s="2"/>
    </row>
    <row r="26" spans="1:19" ht="45" x14ac:dyDescent="0.25">
      <c r="A26" s="4">
        <v>14</v>
      </c>
      <c r="B26" s="2" t="s">
        <v>4</v>
      </c>
      <c r="C26" s="8"/>
      <c r="D26" s="4" t="s">
        <v>224</v>
      </c>
      <c r="E26" s="2" t="s">
        <v>378</v>
      </c>
      <c r="F26" s="2" t="s">
        <v>148</v>
      </c>
      <c r="G26" s="8"/>
      <c r="H26" s="2" t="s">
        <v>26</v>
      </c>
      <c r="I26" s="2" t="s">
        <v>29</v>
      </c>
      <c r="J26" s="2" t="s">
        <v>22</v>
      </c>
      <c r="K26" s="8"/>
      <c r="L26" s="2" t="str">
        <f>VLOOKUP(D26,VLOOKUP!A:D,2,FALSE)</f>
        <v>F6: Operate in Adverse Conditions_THIS</v>
      </c>
      <c r="M26" s="2" t="str">
        <f>VLOOKUP(D26,VLOOKUP!A:D,3,FALSE)</f>
        <v>F6 prioritizes mission-critical tasks during contested operations.</v>
      </c>
      <c r="N26" s="2" t="str">
        <f>VLOOKUP(Final!D26,'Satisfied By'!A:E,4,FALSE)</f>
        <v>F6: Operate in Adverse Conditions (L2)</v>
      </c>
      <c r="O26" s="2" t="str">
        <f>VLOOKUP(Final!D26,'Satisfied By'!A:E,5,FALSE)</f>
        <v>Although no discrete L3 exists, the overall “Operate in Adverse Conditions” function inherently prioritizes critical tasks during threats.</v>
      </c>
      <c r="P26" s="2"/>
      <c r="Q26" s="2"/>
      <c r="R26" s="2"/>
      <c r="S26" s="2"/>
    </row>
    <row r="27" spans="1:19" ht="45" x14ac:dyDescent="0.25">
      <c r="A27" s="4">
        <v>17</v>
      </c>
      <c r="B27" s="2" t="s">
        <v>4</v>
      </c>
      <c r="C27" s="8"/>
      <c r="D27" s="4" t="s">
        <v>225</v>
      </c>
      <c r="E27" s="2" t="s">
        <v>379</v>
      </c>
      <c r="F27" s="2" t="s">
        <v>35</v>
      </c>
      <c r="G27" s="8"/>
      <c r="H27" s="2" t="s">
        <v>26</v>
      </c>
      <c r="I27" s="2" t="s">
        <v>29</v>
      </c>
      <c r="J27" s="2" t="s">
        <v>20</v>
      </c>
      <c r="K27" s="8"/>
      <c r="L27" s="2" t="str">
        <f>VLOOKUP(D27,VLOOKUP!A:D,2,FALSE)</f>
        <v>F6: Operate in Adverse Conditions_THIS</v>
      </c>
      <c r="M27" s="2" t="str">
        <f>VLOOKUP(D27,VLOOKUP!A:D,3,FALSE)</f>
        <v>F6 employs terrain-based navigation in GPS-denied environments.</v>
      </c>
      <c r="N27" s="2" t="str">
        <f>VLOOKUP(Final!D27,'Satisfied By'!A:E,4,FALSE)</f>
        <v>F6: Operate in Adverse Conditions (L2)</v>
      </c>
      <c r="O27" s="2" t="str">
        <f>VLOOKUP(Final!D27,'Satisfied By'!A:E,5,FALSE)</f>
        <v>The overall function includes terrain-based navigation methods to ensure safe operations when GPS is unavailable.</v>
      </c>
      <c r="P27" s="2"/>
      <c r="Q27" s="2"/>
      <c r="R27" s="2"/>
      <c r="S27" s="2"/>
    </row>
    <row r="28" spans="1:19" ht="45" x14ac:dyDescent="0.25">
      <c r="A28" s="4">
        <v>20</v>
      </c>
      <c r="B28" s="2" t="s">
        <v>4</v>
      </c>
      <c r="C28" s="8"/>
      <c r="D28" s="4" t="s">
        <v>226</v>
      </c>
      <c r="E28" s="2" t="s">
        <v>380</v>
      </c>
      <c r="F28" s="2" t="s">
        <v>130</v>
      </c>
      <c r="G28" s="8"/>
      <c r="H28" s="2" t="s">
        <v>26</v>
      </c>
      <c r="I28" s="2" t="s">
        <v>31</v>
      </c>
      <c r="J28" s="2" t="s">
        <v>20</v>
      </c>
      <c r="K28" s="8"/>
      <c r="L28" s="2" t="str">
        <f>VLOOKUP(D28,VLOOKUP!A:D,2,FALSE)</f>
        <v>F6: Operate in Adverse Conditions_THIS</v>
      </c>
      <c r="M28" s="2" t="str">
        <f>VLOOKUP(D28,VLOOKUP!A:D,3,FALSE)</f>
        <v>F6 operates in extreme temperature ranges.</v>
      </c>
      <c r="N28" s="2" t="str">
        <f>VLOOKUP(Final!D28,'Satisfied By'!A:E,4,FALSE)</f>
        <v>F6.2: Analyze Environment</v>
      </c>
      <c r="O28" s="2" t="str">
        <f>VLOOKUP(Final!D28,'Satisfied By'!A:E,5,FALSE)</f>
        <v>By monitoring environmental conditions—including temperature—this activity helps ensure that system operations remain stable within the specified extremes.</v>
      </c>
      <c r="P28" s="2"/>
      <c r="Q28" s="2"/>
      <c r="R28" s="2"/>
      <c r="S28" s="2"/>
    </row>
    <row r="29" spans="1:19" ht="45" x14ac:dyDescent="0.25">
      <c r="A29" s="4">
        <v>23</v>
      </c>
      <c r="B29" s="2" t="s">
        <v>4</v>
      </c>
      <c r="C29" s="8"/>
      <c r="D29" s="4" t="s">
        <v>227</v>
      </c>
      <c r="E29" s="2" t="s">
        <v>381</v>
      </c>
      <c r="F29" s="2" t="s">
        <v>131</v>
      </c>
      <c r="G29" s="8"/>
      <c r="H29" s="2" t="s">
        <v>26</v>
      </c>
      <c r="I29" s="2" t="s">
        <v>31</v>
      </c>
      <c r="J29" s="2" t="s">
        <v>21</v>
      </c>
      <c r="K29" s="8"/>
      <c r="L29" s="2" t="str">
        <f>VLOOKUP(D29,VLOOKUP!A:D,2,FALSE)</f>
        <v>F6: Operate in Adverse Conditions_THIS</v>
      </c>
      <c r="M29" s="2" t="str">
        <f>VLOOKUP(D29,VLOOKUP!A:D,3,FALSE)</f>
        <v>F6 maintains positional accuracy in contested environments.</v>
      </c>
      <c r="N29" s="2" t="str">
        <f>VLOOKUP(Final!D29,'Satisfied By'!A:E,4,FALSE)</f>
        <v>F6.3: Analyze GPS</v>
      </c>
      <c r="O29" s="2" t="str">
        <f>VLOOKUP(Final!D29,'Satisfied By'!A:E,5,FALSE)</f>
        <v>This behavior continuously evaluates GPS (or alternate positioning) data to maintain the required positional accuracy under challenging conditions.</v>
      </c>
      <c r="P29" s="2"/>
      <c r="Q29" s="2"/>
      <c r="R29" s="2"/>
      <c r="S29" s="2"/>
    </row>
    <row r="30" spans="1:19" ht="45" x14ac:dyDescent="0.25">
      <c r="A30" s="4">
        <v>29</v>
      </c>
      <c r="B30" s="2" t="s">
        <v>4</v>
      </c>
      <c r="C30" s="8"/>
      <c r="D30" s="4" t="s">
        <v>228</v>
      </c>
      <c r="E30" s="2" t="s">
        <v>382</v>
      </c>
      <c r="F30" s="2" t="s">
        <v>132</v>
      </c>
      <c r="G30" s="8"/>
      <c r="H30" s="2" t="s">
        <v>26</v>
      </c>
      <c r="I30" s="2" t="s">
        <v>29</v>
      </c>
      <c r="J30" s="2" t="s">
        <v>22</v>
      </c>
      <c r="K30" s="8"/>
      <c r="L30" s="2" t="str">
        <f>VLOOKUP(D30,VLOOKUP!A:D,2,FALSE)</f>
        <v>F6: Operate in Adverse Conditions_THIS</v>
      </c>
      <c r="M30" s="2" t="str">
        <f>VLOOKUP(D30,VLOOKUP!A:D,3,FALSE)</f>
        <v>F6 reroutes missions to avoid threat zones.</v>
      </c>
      <c r="N30" s="2" t="str">
        <f>VLOOKUP(Final!D30,'Satisfied By'!A:E,4,FALSE)</f>
        <v>F6: Operate in Adverse Conditions (L2)</v>
      </c>
      <c r="O30" s="2" t="str">
        <f>VLOOKUP(Final!D30,'Satisfied By'!A:E,5,FALSE)</f>
        <v>The overall function assesses threat zones and dynamically adjusts mission routes to avoid high-risk areas.</v>
      </c>
      <c r="P30" s="2"/>
      <c r="Q30" s="2"/>
      <c r="R30" s="2"/>
      <c r="S30" s="2"/>
    </row>
    <row r="31" spans="1:19" ht="45" x14ac:dyDescent="0.25">
      <c r="A31" s="2" t="s">
        <v>182</v>
      </c>
      <c r="B31" s="2" t="s">
        <v>4</v>
      </c>
      <c r="C31" s="8"/>
      <c r="D31" s="4" t="s">
        <v>229</v>
      </c>
      <c r="E31" s="2" t="s">
        <v>383</v>
      </c>
      <c r="F31" s="2" t="s">
        <v>175</v>
      </c>
      <c r="G31" s="8"/>
      <c r="H31" s="2" t="s">
        <v>26</v>
      </c>
      <c r="I31" s="2" t="s">
        <v>27</v>
      </c>
      <c r="J31" s="2" t="s">
        <v>21</v>
      </c>
      <c r="K31" s="8"/>
      <c r="L31" s="2" t="str">
        <f>VLOOKUP(D31,VLOOKUP!A:D,2,FALSE)</f>
        <v>F5: Manage Communications_THIS</v>
      </c>
      <c r="M31" s="2" t="str">
        <f>VLOOKUP(D31,VLOOKUP!A:D,3,FALSE)</f>
        <v>F5 reroutes data through relay satellites (RS) during jamming.</v>
      </c>
      <c r="N31" s="2" t="str">
        <f>VLOOKUP(Final!D31,'Satisfied By'!A:E,4,FALSE)</f>
        <v>F5: Manage Communications (L2)</v>
      </c>
      <c r="O31" s="2" t="str">
        <f>VLOOKUP(Final!D31,'Satisfied By'!A:E,5,FALSE)</f>
        <v>The communications function includes the ability to reroute data via relay satellites when direct links are compromised.</v>
      </c>
      <c r="P31" s="2"/>
      <c r="Q31" s="2"/>
      <c r="R31" s="2"/>
      <c r="S31" s="2"/>
    </row>
    <row r="32" spans="1:19" ht="45" x14ac:dyDescent="0.25">
      <c r="A32" s="4">
        <v>92</v>
      </c>
      <c r="B32" s="2" t="s">
        <v>5</v>
      </c>
      <c r="C32" s="8"/>
      <c r="D32" s="4" t="s">
        <v>230</v>
      </c>
      <c r="E32" s="2" t="s">
        <v>384</v>
      </c>
      <c r="F32" s="2" t="s">
        <v>134</v>
      </c>
      <c r="G32" s="8"/>
      <c r="H32" s="2" t="s">
        <v>45</v>
      </c>
      <c r="I32" s="2" t="s">
        <v>27</v>
      </c>
      <c r="J32" s="2" t="s">
        <v>21</v>
      </c>
      <c r="K32" s="8"/>
      <c r="L32" s="2" t="str">
        <f>VLOOKUP(D32,VLOOKUP!A:D,2,FALSE)</f>
        <v>F7: Enforce Cybersecurity_THIS</v>
      </c>
      <c r="M32" s="2" t="str">
        <f>VLOOKUP(D32,VLOOKUP!A:D,3,FALSE)</f>
        <v>F7 authenticates receiving aircraft before data exchange.</v>
      </c>
      <c r="N32" s="2" t="str">
        <f>VLOOKUP(Final!D32,'Satisfied By'!A:E,4,FALSE)</f>
        <v>F7.2: Authenticate Aircraft</v>
      </c>
      <c r="O32" s="2" t="str">
        <f>VLOOKUP(Final!D32,'Satisfied By'!A:E,5,FALSE)</f>
        <v>This activity ensures that only authenticated aircraft are permitted to exchange data, meeting the pre-communication security requirement.</v>
      </c>
      <c r="P32" s="2"/>
      <c r="Q32" s="2"/>
      <c r="R32" s="2"/>
      <c r="S32" s="2"/>
    </row>
    <row r="33" spans="1:19" ht="45" x14ac:dyDescent="0.25">
      <c r="A33" s="4">
        <v>94</v>
      </c>
      <c r="B33" s="2" t="s">
        <v>5</v>
      </c>
      <c r="C33" s="8"/>
      <c r="D33" s="4" t="s">
        <v>231</v>
      </c>
      <c r="E33" s="2" t="s">
        <v>385</v>
      </c>
      <c r="F33" s="2" t="s">
        <v>135</v>
      </c>
      <c r="G33" s="8"/>
      <c r="H33" s="2" t="s">
        <v>45</v>
      </c>
      <c r="I33" s="2" t="s">
        <v>31</v>
      </c>
      <c r="J33" s="2" t="s">
        <v>21</v>
      </c>
      <c r="K33" s="8"/>
      <c r="L33" s="2" t="str">
        <f>VLOOKUP(D33,VLOOKUP!A:D,2,FALSE)</f>
        <v>F5: Manage Communications_THIS</v>
      </c>
      <c r="M33" s="2" t="str">
        <f>VLOOKUP(D33,VLOOKUP!A:D,3,FALSE)</f>
        <v>F5 ensures low-latency command transmission.</v>
      </c>
      <c r="N33" s="2" t="str">
        <f>VLOOKUP(Final!D33,'Satisfied By'!A:E,4,FALSE)</f>
        <v>F5.4: Send Data</v>
      </c>
      <c r="O33" s="2" t="str">
        <f>VLOOKUP(Final!D33,'Satisfied By'!A:E,5,FALSE)</f>
        <v>This L3 behavior is responsible for transmitting commands with minimal delay, ensuring that the low-latency requirement is achieved.</v>
      </c>
      <c r="P33" s="2"/>
      <c r="Q33" s="2"/>
      <c r="R33" s="2"/>
      <c r="S33" s="2"/>
    </row>
    <row r="34" spans="1:19" ht="45" x14ac:dyDescent="0.25">
      <c r="A34" s="4">
        <v>97</v>
      </c>
      <c r="B34" s="2" t="s">
        <v>5</v>
      </c>
      <c r="C34" s="8"/>
      <c r="D34" s="4" t="s">
        <v>232</v>
      </c>
      <c r="E34" s="2" t="s">
        <v>386</v>
      </c>
      <c r="F34" s="2" t="s">
        <v>136</v>
      </c>
      <c r="G34" s="8"/>
      <c r="H34" s="2" t="s">
        <v>45</v>
      </c>
      <c r="I34" s="2" t="s">
        <v>27</v>
      </c>
      <c r="J34" s="2" t="s">
        <v>21</v>
      </c>
      <c r="K34" s="8"/>
      <c r="L34" s="2" t="str">
        <f>VLOOKUP(D34,VLOOKUP!A:D,2,FALSE)</f>
        <v>F5: Manage Communications_THIS</v>
      </c>
      <c r="M34" s="2" t="str">
        <f>VLOOKUP(D34,VLOOKUP!A:D,3,FALSE)</f>
        <v>F5 employs frequency-hopping to counter jamming.</v>
      </c>
      <c r="N34" s="2" t="str">
        <f>VLOOKUP(Final!D34,'Satisfied By'!A:E,4,FALSE)</f>
        <v>F5.5: Activate Comms Countermeasures</v>
      </c>
      <c r="O34" s="2" t="str">
        <f>VLOOKUP(Final!D34,'Satisfied By'!A:E,5,FALSE)</f>
        <v>This behavior activates techniques (including frequency hopping) to mitigate jamming and maintain robust communications.</v>
      </c>
      <c r="P34" s="2"/>
      <c r="Q34" s="2"/>
      <c r="R34" s="2"/>
      <c r="S34" s="2"/>
    </row>
    <row r="35" spans="1:19" ht="45" x14ac:dyDescent="0.25">
      <c r="A35" s="4">
        <v>99</v>
      </c>
      <c r="B35" s="2" t="s">
        <v>5</v>
      </c>
      <c r="C35" s="8"/>
      <c r="D35" s="4" t="s">
        <v>233</v>
      </c>
      <c r="E35" s="2" t="s">
        <v>387</v>
      </c>
      <c r="F35" s="2" t="s">
        <v>137</v>
      </c>
      <c r="G35" s="8"/>
      <c r="H35" s="2" t="s">
        <v>45</v>
      </c>
      <c r="I35" s="2" t="s">
        <v>31</v>
      </c>
      <c r="J35" s="2" t="s">
        <v>22</v>
      </c>
      <c r="K35" s="8"/>
      <c r="L35" s="2" t="str">
        <f>VLOOKUP(D35,VLOOKUP!A:D,2,FALSE)</f>
        <v>F5: Manage Communications_THIS</v>
      </c>
      <c r="M35" s="2" t="str">
        <f>VLOOKUP(D35,VLOOKUP!A:D,3,FALSE)</f>
        <v>F5 sustains communication uptime.</v>
      </c>
      <c r="N35" s="2" t="str">
        <f>VLOOKUP(Final!D35,'Satisfied By'!A:E,4,FALSE)</f>
        <v>F5: Manage Communications (L2)</v>
      </c>
      <c r="O35" s="2" t="str">
        <f>VLOOKUP(Final!D35,'Satisfied By'!A:E,5,FALSE)</f>
        <v>The overall communications function is engineered for high availability and continuous connectivity.</v>
      </c>
      <c r="P35" s="2"/>
      <c r="Q35" s="2"/>
      <c r="R35" s="2"/>
      <c r="S35" s="2"/>
    </row>
    <row r="36" spans="1:19" ht="30" x14ac:dyDescent="0.25">
      <c r="A36" s="4">
        <v>103</v>
      </c>
      <c r="B36" s="2" t="s">
        <v>5</v>
      </c>
      <c r="C36" s="8"/>
      <c r="D36" s="4" t="s">
        <v>234</v>
      </c>
      <c r="E36" s="2" t="s">
        <v>388</v>
      </c>
      <c r="F36" s="2" t="s">
        <v>138</v>
      </c>
      <c r="G36" s="8"/>
      <c r="H36" s="2" t="s">
        <v>45</v>
      </c>
      <c r="I36" s="2" t="s">
        <v>31</v>
      </c>
      <c r="J36" s="2" t="s">
        <v>21</v>
      </c>
      <c r="K36" s="8"/>
      <c r="L36" s="2" t="str">
        <f>VLOOKUP(D36,VLOOKUP!A:D,2,FALSE)</f>
        <v>F5: Manage Communications_THIS</v>
      </c>
      <c r="M36" s="2" t="str">
        <f>VLOOKUP(D36,VLOOKUP!A:D,3,FALSE)</f>
        <v>F5 limits data packet loss.</v>
      </c>
      <c r="N36" s="2" t="str">
        <f>VLOOKUP(Final!D36,'Satisfied By'!A:E,4,FALSE)</f>
        <v>F5: Manage Communications (L2)</v>
      </c>
      <c r="O36" s="2" t="str">
        <f>VLOOKUP(Final!D36,'Satisfied By'!A:E,5,FALSE)</f>
        <v>This function is designed to maintain high data integrity, ensuring packet loss remains within prescribed limits.</v>
      </c>
      <c r="P36" s="2"/>
      <c r="Q36" s="2"/>
      <c r="R36" s="2"/>
      <c r="S36" s="2"/>
    </row>
    <row r="37" spans="1:19" ht="30" x14ac:dyDescent="0.25">
      <c r="A37" s="4">
        <v>105</v>
      </c>
      <c r="B37" s="2" t="s">
        <v>5</v>
      </c>
      <c r="C37" s="8"/>
      <c r="D37" s="4" t="s">
        <v>235</v>
      </c>
      <c r="E37" s="2" t="s">
        <v>503</v>
      </c>
      <c r="F37" s="2" t="s">
        <v>47</v>
      </c>
      <c r="G37" s="8"/>
      <c r="H37" s="2" t="s">
        <v>45</v>
      </c>
      <c r="I37" s="2" t="s">
        <v>27</v>
      </c>
      <c r="J37" s="2" t="s">
        <v>21</v>
      </c>
      <c r="K37" s="8"/>
      <c r="L37" s="2" t="str">
        <f>VLOOKUP(D37,VLOOKUP!A:D,2,FALSE)</f>
        <v>F7: Enforce Cybersecurity_THIS</v>
      </c>
      <c r="M37" s="2" t="str">
        <f>VLOOKUP(D37,VLOOKUP!A:D,3,FALSE)</f>
        <v>F7 terminates unauthenticated connections.</v>
      </c>
      <c r="N37" s="2" t="str">
        <f>VLOOKUP(Final!D37,'Satisfied By'!A:E,4,FALSE)</f>
        <v>F7.3: Terminate Unauthorized Connections</v>
      </c>
      <c r="O37" s="2" t="str">
        <f>VLOOKUP(Final!D37,'Satisfied By'!A:E,5,FALSE)</f>
        <v>This activity actively disconnects any connection that fails authentication, thereby securing the network.</v>
      </c>
      <c r="P37" s="2"/>
      <c r="Q37" s="2"/>
      <c r="R37" s="2"/>
      <c r="S37" s="2"/>
    </row>
    <row r="38" spans="1:19" ht="30" x14ac:dyDescent="0.25">
      <c r="A38" s="4">
        <v>107</v>
      </c>
      <c r="B38" s="2" t="s">
        <v>5</v>
      </c>
      <c r="C38" s="8"/>
      <c r="D38" s="4" t="s">
        <v>236</v>
      </c>
      <c r="E38" s="2" t="s">
        <v>389</v>
      </c>
      <c r="F38" s="2" t="s">
        <v>139</v>
      </c>
      <c r="G38" s="8"/>
      <c r="H38" s="2" t="s">
        <v>45</v>
      </c>
      <c r="I38" s="2" t="s">
        <v>29</v>
      </c>
      <c r="J38" s="2" t="s">
        <v>22</v>
      </c>
      <c r="K38" s="8"/>
      <c r="L38" s="2" t="str">
        <f>VLOOKUP(D38,VLOOKUP!A:D,2,FALSE)</f>
        <v>F7: Enforce Cybersecurity_THIS</v>
      </c>
      <c r="M38" s="2" t="str">
        <f>VLOOKUP(D38,VLOOKUP!A:D,3,FALSE)</f>
        <v>F7 employs RF masking during covert operations.</v>
      </c>
      <c r="N38" s="2" t="str">
        <f>VLOOKUP(Final!D38,'Satisfied By'!A:E,4,FALSE)</f>
        <v>F7.4: Zero-Trust &amp; RF Masking</v>
      </c>
      <c r="O38" s="2" t="str">
        <f>VLOOKUP(Final!D38,'Satisfied By'!A:E,5,FALSE)</f>
        <v>This behavior implements RF masking to obscure the system’s signature, supporting covert operations.</v>
      </c>
      <c r="P38" s="2"/>
      <c r="Q38" s="2"/>
      <c r="R38" s="2"/>
      <c r="S38" s="2"/>
    </row>
    <row r="39" spans="1:19" ht="45" x14ac:dyDescent="0.25">
      <c r="A39" s="4">
        <v>109</v>
      </c>
      <c r="B39" s="2" t="s">
        <v>5</v>
      </c>
      <c r="C39" s="8"/>
      <c r="D39" s="4" t="s">
        <v>237</v>
      </c>
      <c r="E39" s="2" t="s">
        <v>390</v>
      </c>
      <c r="F39" s="2" t="s">
        <v>71</v>
      </c>
      <c r="G39" s="8"/>
      <c r="H39" s="2" t="s">
        <v>45</v>
      </c>
      <c r="I39" s="2" t="s">
        <v>27</v>
      </c>
      <c r="J39" s="2" t="s">
        <v>21</v>
      </c>
      <c r="K39" s="8"/>
      <c r="L39" s="2" t="str">
        <f>VLOOKUP(D39,VLOOKUP!A:D,2,FALSE)</f>
        <v>F7: Enforce Cybersecurity_THIS</v>
      </c>
      <c r="M39" s="2" t="str">
        <f>VLOOKUP(D39,VLOOKUP!A:D,3,FALSE)</f>
        <v>F7 validates digital certificates.</v>
      </c>
      <c r="N39" s="2" t="str">
        <f>VLOOKUP(Final!D39,'Satisfied By'!A:E,4,FALSE)</f>
        <v>F7.1: Validate Digital Certificates</v>
      </c>
      <c r="O39" s="2" t="str">
        <f>VLOOKUP(Final!D39,'Satisfied By'!A:E,5,FALSE)</f>
        <v>This L3 activity rigorously checks digital certificates to ensure only trusted entities communicate with the system.</v>
      </c>
      <c r="P39" s="2"/>
      <c r="Q39" s="2"/>
      <c r="R39" s="2"/>
      <c r="S39" s="2"/>
    </row>
    <row r="40" spans="1:19" ht="45" x14ac:dyDescent="0.25">
      <c r="A40" s="4">
        <v>111</v>
      </c>
      <c r="B40" s="2" t="s">
        <v>5</v>
      </c>
      <c r="C40" s="8"/>
      <c r="D40" s="4" t="s">
        <v>238</v>
      </c>
      <c r="E40" s="2" t="s">
        <v>504</v>
      </c>
      <c r="F40" s="2" t="s">
        <v>190</v>
      </c>
      <c r="G40" s="8"/>
      <c r="H40" s="2" t="s">
        <v>45</v>
      </c>
      <c r="I40" s="2" t="s">
        <v>31</v>
      </c>
      <c r="J40" s="2" t="s">
        <v>21</v>
      </c>
      <c r="K40" s="8"/>
      <c r="L40" s="2" t="str">
        <f>VLOOKUP(D40,VLOOKUP!A:D,2,FALSE)</f>
        <v>F7: Enforce Cybersecurity_THIS</v>
      </c>
      <c r="M40" s="2" t="str">
        <f>VLOOKUP(D40,VLOOKUP!A:D,3,FALSE)</f>
        <v>F7 ensures message integrity during jamming.</v>
      </c>
      <c r="N40" s="2" t="str">
        <f>VLOOKUP(Final!D40,'Satisfied By'!A:E,4,FALSE)</f>
        <v>F7.6: Ensure Msg Integrity</v>
      </c>
      <c r="O40" s="2" t="str">
        <f>VLOOKUP(Final!D40,'Satisfied By'!A:E,5,FALSE)</f>
        <v>This behavior monitors and preserves the integrity of messages during jamming conditions, meeting the high-integrity threshold.</v>
      </c>
      <c r="P40" s="2"/>
      <c r="Q40" s="2"/>
      <c r="R40" s="2"/>
      <c r="S40" s="2"/>
    </row>
    <row r="41" spans="1:19" ht="45" x14ac:dyDescent="0.25">
      <c r="A41" s="4">
        <v>113</v>
      </c>
      <c r="B41" s="2" t="s">
        <v>5</v>
      </c>
      <c r="C41" s="8"/>
      <c r="D41" s="4" t="s">
        <v>239</v>
      </c>
      <c r="E41" s="2" t="s">
        <v>391</v>
      </c>
      <c r="F41" s="2" t="s">
        <v>140</v>
      </c>
      <c r="G41" s="8"/>
      <c r="H41" s="2" t="s">
        <v>45</v>
      </c>
      <c r="I41" s="2" t="s">
        <v>29</v>
      </c>
      <c r="J41" s="2" t="s">
        <v>22</v>
      </c>
      <c r="K41" s="8"/>
      <c r="L41" s="2" t="str">
        <f>VLOOKUP(D41,VLOOKUP!A:D,2,FALSE)</f>
        <v>F7: Enforce Cybersecurity_THIS</v>
      </c>
      <c r="M41" s="2" t="str">
        <f>VLOOKUP(D41,VLOOKUP!A:D,3,FALSE)</f>
        <v>F7 implements zero-trust network architecture.</v>
      </c>
      <c r="N41" s="2" t="str">
        <f>VLOOKUP(Final!D41,'Satisfied By'!A:E,4,FALSE)</f>
        <v>F7.4: Zero-Trust &amp; RF Masking</v>
      </c>
      <c r="O41" s="2" t="str">
        <f>VLOOKUP(Final!D41,'Satisfied By'!A:E,5,FALSE)</f>
        <v>By enforcing a zero-trust model, this activity ensures that every access request is verified before communication is allowed.</v>
      </c>
      <c r="P41" s="2"/>
      <c r="Q41" s="2"/>
      <c r="R41" s="2"/>
      <c r="S41" s="2"/>
    </row>
    <row r="42" spans="1:19" ht="45" x14ac:dyDescent="0.25">
      <c r="A42" s="4">
        <v>115</v>
      </c>
      <c r="B42" s="2" t="s">
        <v>5</v>
      </c>
      <c r="C42" s="8"/>
      <c r="D42" s="4" t="s">
        <v>240</v>
      </c>
      <c r="E42" s="2" t="s">
        <v>392</v>
      </c>
      <c r="F42" s="2" t="s">
        <v>162</v>
      </c>
      <c r="G42" s="8"/>
      <c r="H42" s="2" t="s">
        <v>45</v>
      </c>
      <c r="I42" s="2" t="s">
        <v>31</v>
      </c>
      <c r="J42" s="2" t="s">
        <v>21</v>
      </c>
      <c r="K42" s="8"/>
      <c r="L42" s="2" t="str">
        <f>VLOOKUP(D42,VLOOKUP!A:D,2,FALSE)</f>
        <v>F7: Enforce Cybersecurity_THIS</v>
      </c>
      <c r="M42" s="2" t="str">
        <f>VLOOKUP(D42,VLOOKUP!A:D,3,FALSE)</f>
        <v>F7 re-establishes encryption after signal loss.</v>
      </c>
      <c r="N42" s="2" t="str">
        <f>VLOOKUP(Final!D42,'Satisfied By'!A:E,4,FALSE)</f>
        <v>F7.7: Re-establish Encryption</v>
      </c>
      <c r="O42" s="2" t="str">
        <f>VLOOKUP(Final!D42,'Satisfied By'!A:E,5,FALSE)</f>
        <v>This L3 behavior rapidly restores encryption after any signal loss, ensuring continuous secure communications.</v>
      </c>
      <c r="P42" s="2"/>
      <c r="Q42" s="2"/>
      <c r="R42" s="2"/>
      <c r="S42" s="2"/>
    </row>
    <row r="43" spans="1:19" ht="30" x14ac:dyDescent="0.25">
      <c r="A43" s="4">
        <v>117</v>
      </c>
      <c r="B43" s="2" t="s">
        <v>5</v>
      </c>
      <c r="C43" s="8"/>
      <c r="D43" s="4" t="s">
        <v>241</v>
      </c>
      <c r="E43" s="5" t="s">
        <v>505</v>
      </c>
      <c r="F43" s="5" t="s">
        <v>174</v>
      </c>
      <c r="G43" s="11"/>
      <c r="H43" s="2" t="s">
        <v>45</v>
      </c>
      <c r="I43" s="2" t="s">
        <v>27</v>
      </c>
      <c r="J43" s="2" t="s">
        <v>20</v>
      </c>
      <c r="K43" s="8"/>
      <c r="L43" s="2" t="str">
        <f>VLOOKUP(D43,VLOOKUP!A:D,2,FALSE)</f>
        <v>F7: Enforce Cybersecurity_THIS</v>
      </c>
      <c r="M43" s="2" t="str">
        <f>VLOOKUP(D43,VLOOKUP!A:D,3,FALSE)</f>
        <v>F7 erases tampered data and notifies ground control.</v>
      </c>
      <c r="N43" s="2" t="str">
        <f>VLOOKUP(Final!D43,'Satisfied By'!A:E,4,FALSE)</f>
        <v>F7.8: Erase Data if Tampered</v>
      </c>
      <c r="O43" s="2" t="str">
        <f>VLOOKUP(Final!D43,'Satisfied By'!A:E,5,FALSE)</f>
        <v>This activity immediately erases sensitive data upon detecting tampering and sends an alert to ground control.</v>
      </c>
      <c r="P43" s="2"/>
      <c r="Q43" s="2"/>
      <c r="R43" s="2"/>
      <c r="S43" s="2"/>
    </row>
    <row r="44" spans="1:19" ht="45" x14ac:dyDescent="0.25">
      <c r="A44" s="4">
        <v>119</v>
      </c>
      <c r="B44" s="2" t="s">
        <v>5</v>
      </c>
      <c r="C44" s="8"/>
      <c r="D44" s="4" t="s">
        <v>242</v>
      </c>
      <c r="E44" s="2" t="s">
        <v>393</v>
      </c>
      <c r="F44" s="2" t="s">
        <v>50</v>
      </c>
      <c r="G44" s="8"/>
      <c r="H44" s="2" t="s">
        <v>45</v>
      </c>
      <c r="I44" s="2" t="s">
        <v>27</v>
      </c>
      <c r="J44" s="2" t="s">
        <v>24</v>
      </c>
      <c r="K44" s="8"/>
      <c r="L44" s="2" t="str">
        <f>VLOOKUP(D44,VLOOKUP!A:D,2,FALSE)</f>
        <v>F7: Enforce Cybersecurity_THIS</v>
      </c>
      <c r="M44" s="2" t="str">
        <f>VLOOKUP(D44,VLOOKUP!A:D,3,FALSE)</f>
        <v>F7 uses quantum-resistant encryption.</v>
      </c>
      <c r="N44" s="2" t="str">
        <f>VLOOKUP(Final!D44,'Satisfied By'!A:E,4,FALSE)</f>
        <v>F7.5: Apply Cryptography</v>
      </c>
      <c r="O44" s="2" t="str">
        <f>VLOOKUP(Final!D44,'Satisfied By'!A:E,5,FALSE)</f>
        <v>This behavior applies state-of-the-art cryptographic methods, including quantum-resistant algorithms, to secure communications.</v>
      </c>
      <c r="P44" s="2"/>
      <c r="Q44" s="2"/>
      <c r="R44" s="2"/>
      <c r="S44" s="2"/>
    </row>
    <row r="45" spans="1:19" ht="30" x14ac:dyDescent="0.25">
      <c r="A45" s="4">
        <v>91</v>
      </c>
      <c r="B45" s="2" t="s">
        <v>181</v>
      </c>
      <c r="C45" s="8"/>
      <c r="D45" s="4" t="s">
        <v>243</v>
      </c>
      <c r="E45" s="2" t="s">
        <v>394</v>
      </c>
      <c r="F45" s="2" t="s">
        <v>133</v>
      </c>
      <c r="G45" s="8"/>
      <c r="H45" s="2" t="s">
        <v>45</v>
      </c>
      <c r="I45" s="2" t="s">
        <v>27</v>
      </c>
      <c r="J45" s="2" t="s">
        <v>24</v>
      </c>
      <c r="K45" s="8"/>
      <c r="L45" s="2" t="str">
        <f>VLOOKUP(D45,VLOOKUP!A:D,2,FALSE)</f>
        <v>F7: Enforce Cybersecurity_THIS</v>
      </c>
      <c r="M45" s="2" t="str">
        <f>VLOOKUP(D45,VLOOKUP!A:D,3,FALSE)</f>
        <v>F7 encrypts communications with AES-256.</v>
      </c>
      <c r="N45" s="2" t="str">
        <f>VLOOKUP(Final!D45,'Satisfied By'!A:E,4,FALSE)</f>
        <v>F7.5: Apply Cryptography</v>
      </c>
      <c r="O45" s="2" t="str">
        <f>VLOOKUP(Final!D45,'Satisfied By'!A:E,5,FALSE)</f>
        <v>This activity ensures that all data exchanges are secured using robust AES‑256 encryption.</v>
      </c>
      <c r="P45" s="2"/>
      <c r="Q45" s="2"/>
      <c r="R45" s="2"/>
      <c r="S45" s="2"/>
    </row>
    <row r="46" spans="1:19" ht="60" hidden="1" x14ac:dyDescent="0.25">
      <c r="A46" s="4">
        <v>61</v>
      </c>
      <c r="B46" s="2" t="s">
        <v>1</v>
      </c>
      <c r="C46" s="8"/>
      <c r="D46" s="4" t="s">
        <v>244</v>
      </c>
      <c r="E46" s="2" t="s">
        <v>395</v>
      </c>
      <c r="F46" s="2" t="s">
        <v>141</v>
      </c>
      <c r="G46" s="8"/>
      <c r="H46" s="2" t="s">
        <v>19</v>
      </c>
      <c r="I46" s="2" t="s">
        <v>31</v>
      </c>
      <c r="J46" s="2" t="s">
        <v>21</v>
      </c>
      <c r="K46" s="8"/>
      <c r="L46" s="2" t="e">
        <f>VLOOKUP(D46,VLOOKUP!A:D,2,FALSE)</f>
        <v>#N/A</v>
      </c>
      <c r="M46" s="2" t="e">
        <f>VLOOKUP(D46,VLOOKUP!A:D,3,FALSE)</f>
        <v>#N/A</v>
      </c>
      <c r="N46" s="2" t="str">
        <f>VLOOKUP(Final!D46,'Satisfied By'!A:E,4,FALSE)</f>
        <v>N/A – Obstacle detection is verified via the integrated sensor suite and overall system design rather than a discrete L3 behavior.</v>
      </c>
      <c r="O46" s="2" t="str">
        <f>VLOOKUP(Final!D46,'Satisfied By'!A:E,5,FALSE)</f>
        <v>This performance requirement is met by the sensor hardware and fusion algorithms implemented at the system level.</v>
      </c>
      <c r="P46" s="2"/>
      <c r="Q46" s="2"/>
      <c r="R46" s="2"/>
      <c r="S46" s="2"/>
    </row>
    <row r="47" spans="1:19" ht="60" hidden="1" x14ac:dyDescent="0.25">
      <c r="A47" s="4">
        <v>64</v>
      </c>
      <c r="B47" s="2" t="s">
        <v>1</v>
      </c>
      <c r="C47" s="8"/>
      <c r="D47" s="4" t="s">
        <v>245</v>
      </c>
      <c r="E47" s="2" t="s">
        <v>396</v>
      </c>
      <c r="F47" s="2" t="s">
        <v>142</v>
      </c>
      <c r="G47" s="8"/>
      <c r="H47" s="2" t="s">
        <v>19</v>
      </c>
      <c r="I47" s="2" t="s">
        <v>29</v>
      </c>
      <c r="J47" s="2" t="s">
        <v>22</v>
      </c>
      <c r="K47" s="8"/>
      <c r="L47" s="2" t="e">
        <f>VLOOKUP(D47,VLOOKUP!A:D,2,FALSE)</f>
        <v>#N/A</v>
      </c>
      <c r="M47" s="2" t="e">
        <f>VLOOKUP(D47,VLOOKUP!A:D,3,FALSE)</f>
        <v>#N/A</v>
      </c>
      <c r="N47" s="2" t="str">
        <f>VLOOKUP(Final!D47,'Satisfied By'!A:E,4,FALSE)</f>
        <v>N/A – Rerouting is managed by the overall flight control system and collision avoidance algorithms, not by an individual L3 function.</v>
      </c>
      <c r="O47" s="2" t="str">
        <f>VLOOKUP(Final!D47,'Satisfied By'!A:E,5,FALSE)</f>
        <v>This requirement is verified during system integration and simulation tests.</v>
      </c>
      <c r="P47" s="2"/>
      <c r="Q47" s="2"/>
      <c r="R47" s="2"/>
      <c r="S47" s="2"/>
    </row>
    <row r="48" spans="1:19" ht="75" hidden="1" x14ac:dyDescent="0.25">
      <c r="A48" s="4">
        <v>67</v>
      </c>
      <c r="B48" s="2" t="s">
        <v>1</v>
      </c>
      <c r="C48" s="8"/>
      <c r="D48" s="4" t="s">
        <v>246</v>
      </c>
      <c r="E48" s="2" t="s">
        <v>397</v>
      </c>
      <c r="F48" s="2" t="s">
        <v>143</v>
      </c>
      <c r="G48" s="8"/>
      <c r="H48" s="2" t="s">
        <v>19</v>
      </c>
      <c r="I48" s="2" t="s">
        <v>31</v>
      </c>
      <c r="J48" s="2" t="s">
        <v>21</v>
      </c>
      <c r="K48" s="8"/>
      <c r="L48" s="2" t="e">
        <f>VLOOKUP(D48,VLOOKUP!A:D,2,FALSE)</f>
        <v>#N/A</v>
      </c>
      <c r="M48" s="2" t="e">
        <f>VLOOKUP(D48,VLOOKUP!A:D,3,FALSE)</f>
        <v>#N/A</v>
      </c>
      <c r="N48" s="2" t="str">
        <f>VLOOKUP(Final!D48,'Satisfied By'!A:E,4,FALSE)</f>
        <v>N/A – Separation requirements are enforced by the flight control system design and collision avoidance strategies at the system level.</v>
      </c>
      <c r="O48" s="2" t="str">
        <f>VLOOKUP(Final!D48,'Satisfied By'!A:E,5,FALSE)</f>
        <v>This is a system‑level safety metric verified through integrated testing.</v>
      </c>
      <c r="P48" s="2"/>
      <c r="Q48" s="2"/>
      <c r="R48" s="2"/>
      <c r="S48" s="2"/>
    </row>
    <row r="49" spans="1:19" ht="60" hidden="1" x14ac:dyDescent="0.25">
      <c r="A49" s="4">
        <v>70</v>
      </c>
      <c r="B49" s="2" t="s">
        <v>1</v>
      </c>
      <c r="C49" s="8"/>
      <c r="D49" s="4" t="s">
        <v>247</v>
      </c>
      <c r="E49" s="2" t="s">
        <v>398</v>
      </c>
      <c r="F49" s="2" t="s">
        <v>42</v>
      </c>
      <c r="G49" s="8"/>
      <c r="H49" s="2" t="s">
        <v>19</v>
      </c>
      <c r="I49" s="2" t="s">
        <v>31</v>
      </c>
      <c r="J49" s="2" t="s">
        <v>21</v>
      </c>
      <c r="K49" s="8"/>
      <c r="L49" s="2" t="e">
        <f>VLOOKUP(D49,VLOOKUP!A:D,2,FALSE)</f>
        <v>#N/A</v>
      </c>
      <c r="M49" s="2" t="e">
        <f>VLOOKUP(D49,VLOOKUP!A:D,3,FALSE)</f>
        <v>#N/A</v>
      </c>
      <c r="N49" s="2" t="str">
        <f>VLOOKUP(Final!D49,'Satisfied By'!A:E,4,FALSE)</f>
        <v>N/A – The collision risk update frequency is monitored by the integrated safety system rather than a discrete L3 activity.</v>
      </c>
      <c r="O49" s="2" t="str">
        <f>VLOOKUP(Final!D49,'Satisfied By'!A:E,5,FALSE)</f>
        <v>This metric is achieved via overall system timing and sensor processing.</v>
      </c>
      <c r="P49" s="2"/>
      <c r="Q49" s="2"/>
      <c r="R49" s="2"/>
      <c r="S49" s="2"/>
    </row>
    <row r="50" spans="1:19" ht="60" hidden="1" x14ac:dyDescent="0.25">
      <c r="A50" s="4">
        <v>73</v>
      </c>
      <c r="B50" s="2" t="s">
        <v>1</v>
      </c>
      <c r="C50" s="8"/>
      <c r="D50" s="4" t="s">
        <v>248</v>
      </c>
      <c r="E50" s="2" t="s">
        <v>506</v>
      </c>
      <c r="F50" s="2" t="s">
        <v>43</v>
      </c>
      <c r="G50" s="8"/>
      <c r="H50" s="2" t="s">
        <v>19</v>
      </c>
      <c r="I50" s="2" t="s">
        <v>29</v>
      </c>
      <c r="J50" s="2" t="s">
        <v>22</v>
      </c>
      <c r="K50" s="8"/>
      <c r="L50" s="2" t="e">
        <f>VLOOKUP(D50,VLOOKUP!A:D,2,FALSE)</f>
        <v>#N/A</v>
      </c>
      <c r="M50" s="2" t="e">
        <f>VLOOKUP(D50,VLOOKUP!A:D,3,FALSE)</f>
        <v>#N/A</v>
      </c>
      <c r="N50" s="2" t="str">
        <f>VLOOKUP(Final!D50,'Satisfied By'!A:E,4,FALSE)</f>
        <v>N/A – This priority is established by system‑level algorithms within the flight control system, not by a specific L3 behavior.</v>
      </c>
      <c r="O50" s="2" t="str">
        <f>VLOOKUP(Final!D50,'Satisfied By'!A:E,5,FALSE)</f>
        <v>Overall system design ensures that safety always takes precedence.</v>
      </c>
      <c r="P50" s="2"/>
      <c r="Q50" s="2"/>
      <c r="R50" s="2"/>
      <c r="S50" s="2"/>
    </row>
    <row r="51" spans="1:19" ht="60" hidden="1" x14ac:dyDescent="0.25">
      <c r="A51" s="4">
        <v>76</v>
      </c>
      <c r="B51" s="2" t="s">
        <v>1</v>
      </c>
      <c r="C51" s="8"/>
      <c r="D51" s="4" t="s">
        <v>249</v>
      </c>
      <c r="E51" s="2" t="s">
        <v>399</v>
      </c>
      <c r="F51" s="2" t="s">
        <v>144</v>
      </c>
      <c r="G51" s="8"/>
      <c r="H51" s="2" t="s">
        <v>19</v>
      </c>
      <c r="I51" s="2" t="s">
        <v>31</v>
      </c>
      <c r="J51" s="2" t="s">
        <v>21</v>
      </c>
      <c r="K51" s="8"/>
      <c r="L51" s="2" t="e">
        <f>VLOOKUP(D51,VLOOKUP!A:D,2,FALSE)</f>
        <v>#N/A</v>
      </c>
      <c r="M51" s="2" t="e">
        <f>VLOOKUP(D51,VLOOKUP!A:D,3,FALSE)</f>
        <v>#N/A</v>
      </c>
      <c r="N51" s="2" t="str">
        <f>VLOOKUP(Final!D51,'Satisfied By'!A:E,4,FALSE)</f>
        <v>N/A – Detection of foreign objects is handled by the integrated sensor suite and not captured in a discrete L3 function.</v>
      </c>
      <c r="O51" s="2" t="str">
        <f>VLOOKUP(Final!D51,'Satisfied By'!A:E,5,FALSE)</f>
        <v>This is verified through sensor calibration and system-level testing.</v>
      </c>
      <c r="P51" s="2"/>
      <c r="Q51" s="2"/>
      <c r="R51" s="2"/>
      <c r="S51" s="2"/>
    </row>
    <row r="52" spans="1:19" ht="60" hidden="1" x14ac:dyDescent="0.25">
      <c r="A52" s="4">
        <v>79</v>
      </c>
      <c r="B52" s="2" t="s">
        <v>1</v>
      </c>
      <c r="C52" s="8"/>
      <c r="D52" s="4" t="s">
        <v>250</v>
      </c>
      <c r="E52" s="2" t="s">
        <v>400</v>
      </c>
      <c r="F52" s="2" t="s">
        <v>145</v>
      </c>
      <c r="G52" s="8"/>
      <c r="H52" s="2" t="s">
        <v>19</v>
      </c>
      <c r="I52" s="2" t="s">
        <v>31</v>
      </c>
      <c r="J52" s="2" t="s">
        <v>22</v>
      </c>
      <c r="K52" s="8"/>
      <c r="L52" s="2" t="e">
        <f>VLOOKUP(D52,VLOOKUP!A:D,2,FALSE)</f>
        <v>#N/A</v>
      </c>
      <c r="M52" s="2" t="e">
        <f>VLOOKUP(D52,VLOOKUP!A:D,3,FALSE)</f>
        <v>#N/A</v>
      </c>
      <c r="N52" s="2" t="str">
        <f>VLOOKUP(Final!D52,'Satisfied By'!A:E,4,FALSE)</f>
        <v>N/A – False alert limits are maintained by overall signal filtering and sensor data processing algorithms at the system level.</v>
      </c>
      <c r="O52" s="2" t="str">
        <f>VLOOKUP(Final!D52,'Satisfied By'!A:E,5,FALSE)</f>
        <v>This performance metric is confirmed during integrated system testing.</v>
      </c>
      <c r="P52" s="2"/>
      <c r="Q52" s="2"/>
      <c r="R52" s="2"/>
      <c r="S52" s="2"/>
    </row>
    <row r="53" spans="1:19" ht="60" hidden="1" x14ac:dyDescent="0.25">
      <c r="A53" s="4">
        <v>82</v>
      </c>
      <c r="B53" s="2" t="s">
        <v>1</v>
      </c>
      <c r="C53" s="8"/>
      <c r="D53" s="4" t="s">
        <v>251</v>
      </c>
      <c r="E53" s="2" t="s">
        <v>507</v>
      </c>
      <c r="F53" s="2" t="s">
        <v>146</v>
      </c>
      <c r="G53" s="8"/>
      <c r="H53" s="2" t="s">
        <v>19</v>
      </c>
      <c r="I53" s="2" t="s">
        <v>29</v>
      </c>
      <c r="J53" s="2" t="s">
        <v>22</v>
      </c>
      <c r="K53" s="8"/>
      <c r="L53" s="2" t="e">
        <f>VLOOKUP(D53,VLOOKUP!A:D,2,FALSE)</f>
        <v>#N/A</v>
      </c>
      <c r="M53" s="2" t="e">
        <f>VLOOKUP(D53,VLOOKUP!A:D,3,FALSE)</f>
        <v>#N/A</v>
      </c>
      <c r="N53" s="2" t="str">
        <f>VLOOKUP(Final!D53,'Satisfied By'!A:E,4,FALSE)</f>
        <v>N/A – Predictive obstacle algorithms are part of the advanced sensor fusion system and are verified at the system level.</v>
      </c>
      <c r="O53" s="2" t="str">
        <f>VLOOKUP(Final!D53,'Satisfied By'!A:E,5,FALSE)</f>
        <v>This requirement is addressed by overall software analytics rather than a single L3 behavior.</v>
      </c>
      <c r="P53" s="2"/>
      <c r="Q53" s="2"/>
      <c r="R53" s="2"/>
      <c r="S53" s="2"/>
    </row>
    <row r="54" spans="1:19" ht="60" hidden="1" x14ac:dyDescent="0.25">
      <c r="A54" s="4">
        <v>85</v>
      </c>
      <c r="B54" s="2" t="s">
        <v>1</v>
      </c>
      <c r="C54" s="8"/>
      <c r="D54" s="4" t="s">
        <v>252</v>
      </c>
      <c r="E54" s="2" t="s">
        <v>401</v>
      </c>
      <c r="F54" s="2" t="s">
        <v>147</v>
      </c>
      <c r="G54" s="8"/>
      <c r="H54" s="2" t="s">
        <v>19</v>
      </c>
      <c r="I54" s="2" t="s">
        <v>27</v>
      </c>
      <c r="J54" s="2" t="s">
        <v>21</v>
      </c>
      <c r="K54" s="8"/>
      <c r="L54" s="2" t="e">
        <f>VLOOKUP(D54,VLOOKUP!A:D,2,FALSE)</f>
        <v>#N/A</v>
      </c>
      <c r="M54" s="2" t="e">
        <f>VLOOKUP(D54,VLOOKUP!A:D,3,FALSE)</f>
        <v>#N/A</v>
      </c>
      <c r="N54" s="2" t="str">
        <f>VLOOKUP(Final!D54,'Satisfied By'!A:E,4,FALSE)</f>
        <v>N/A – Terrain avoidance is managed by the integrated flight control and sensor fusion systems, not by an individual L3 activity.</v>
      </c>
      <c r="O54" s="2" t="str">
        <f>VLOOKUP(Final!D54,'Satisfied By'!A:E,5,FALSE)</f>
        <v>System-level integration ensures safe terrain clearance.</v>
      </c>
      <c r="P54" s="2"/>
      <c r="Q54" s="2"/>
      <c r="R54" s="2"/>
      <c r="S54" s="2"/>
    </row>
    <row r="55" spans="1:19" ht="60" hidden="1" x14ac:dyDescent="0.25">
      <c r="A55" s="4">
        <v>88</v>
      </c>
      <c r="B55" s="2" t="s">
        <v>1</v>
      </c>
      <c r="C55" s="8"/>
      <c r="D55" s="4" t="s">
        <v>253</v>
      </c>
      <c r="E55" s="2" t="s">
        <v>402</v>
      </c>
      <c r="F55" s="2" t="s">
        <v>149</v>
      </c>
      <c r="G55" s="8"/>
      <c r="H55" s="2" t="s">
        <v>19</v>
      </c>
      <c r="I55" s="2" t="s">
        <v>31</v>
      </c>
      <c r="J55" s="2" t="s">
        <v>22</v>
      </c>
      <c r="K55" s="8"/>
      <c r="L55" s="2" t="e">
        <f>VLOOKUP(D55,VLOOKUP!A:D,2,FALSE)</f>
        <v>#N/A</v>
      </c>
      <c r="M55" s="2" t="e">
        <f>VLOOKUP(D55,VLOOKUP!A:D,3,FALSE)</f>
        <v>#N/A</v>
      </c>
      <c r="N55" s="2" t="str">
        <f>VLOOKUP(Final!D55,'Satisfied By'!A:E,4,FALSE)</f>
        <v>N/A – This statistical performance measure is verified via system-level reliability analysis and testing.</v>
      </c>
      <c r="O55" s="2" t="str">
        <f>VLOOKUP(Final!D55,'Satisfied By'!A:E,5,FALSE)</f>
        <v>It is not captured by any discrete L3 behavior.</v>
      </c>
      <c r="P55" s="2"/>
      <c r="Q55" s="2"/>
      <c r="R55" s="2"/>
      <c r="S55" s="2"/>
    </row>
    <row r="56" spans="1:19" ht="45" hidden="1" x14ac:dyDescent="0.25">
      <c r="A56" s="4">
        <v>121</v>
      </c>
      <c r="B56" s="2" t="s">
        <v>2</v>
      </c>
      <c r="C56" s="8"/>
      <c r="D56" s="4" t="s">
        <v>254</v>
      </c>
      <c r="E56" s="2" t="s">
        <v>403</v>
      </c>
      <c r="F56" s="2" t="s">
        <v>150</v>
      </c>
      <c r="G56" s="8"/>
      <c r="H56" s="2" t="s">
        <v>51</v>
      </c>
      <c r="I56" s="2" t="s">
        <v>27</v>
      </c>
      <c r="J56" s="2" t="s">
        <v>24</v>
      </c>
      <c r="K56" s="8"/>
      <c r="L56" s="2" t="e">
        <f>VLOOKUP(D56,VLOOKUP!A:D,2,FALSE)</f>
        <v>#N/A</v>
      </c>
      <c r="M56" s="2" t="e">
        <f>VLOOKUP(D56,VLOOKUP!A:D,3,FALSE)</f>
        <v>#N/A</v>
      </c>
      <c r="N56" s="2" t="str">
        <f>VLOOKUP(Final!D56,'Satisfied By'!A:E,4,FALSE)</f>
        <v>N/A – Redundancy for fuel pumps is a hardware design requirement verified at the system level.</v>
      </c>
      <c r="O56" s="2" t="str">
        <f>VLOOKUP(Final!D56,'Satisfied By'!A:E,5,FALSE)</f>
        <v>It is ensured by overall system architecture rather than by a functional behavior.</v>
      </c>
      <c r="P56" s="2"/>
      <c r="Q56" s="2"/>
      <c r="R56" s="2"/>
      <c r="S56" s="2"/>
    </row>
    <row r="57" spans="1:19" ht="45" hidden="1" x14ac:dyDescent="0.25">
      <c r="A57" s="4">
        <v>124</v>
      </c>
      <c r="B57" s="2" t="s">
        <v>2</v>
      </c>
      <c r="C57" s="8"/>
      <c r="D57" s="4" t="s">
        <v>255</v>
      </c>
      <c r="E57" s="2" t="s">
        <v>404</v>
      </c>
      <c r="F57" s="2" t="s">
        <v>53</v>
      </c>
      <c r="G57" s="8"/>
      <c r="H57" s="2" t="s">
        <v>51</v>
      </c>
      <c r="I57" s="2" t="s">
        <v>27</v>
      </c>
      <c r="J57" s="2" t="s">
        <v>21</v>
      </c>
      <c r="K57" s="8"/>
      <c r="L57" s="2" t="e">
        <f>VLOOKUP(D57,VLOOKUP!A:D,2,FALSE)</f>
        <v>#N/A</v>
      </c>
      <c r="M57" s="2" t="e">
        <f>VLOOKUP(D57,VLOOKUP!A:D,3,FALSE)</f>
        <v>#N/A</v>
      </c>
      <c r="N57" s="2" t="str">
        <f>VLOOKUP(Final!D57,'Satisfied By'!A:E,4,FALSE)</f>
        <v>N/A – This safety feature is implemented in the system’s power management architecture.</v>
      </c>
      <c r="O57" s="2" t="str">
        <f>VLOOKUP(Final!D57,'Satisfied By'!A:E,5,FALSE)</f>
        <v>It is verified through system-level fault and power-loss testing.</v>
      </c>
      <c r="P57" s="2"/>
      <c r="Q57" s="2"/>
      <c r="R57" s="2"/>
      <c r="S57" s="2"/>
    </row>
    <row r="58" spans="1:19" ht="45" hidden="1" x14ac:dyDescent="0.25">
      <c r="A58" s="4">
        <v>128</v>
      </c>
      <c r="B58" s="2" t="s">
        <v>2</v>
      </c>
      <c r="C58" s="8"/>
      <c r="D58" s="4" t="s">
        <v>256</v>
      </c>
      <c r="E58" s="2" t="s">
        <v>405</v>
      </c>
      <c r="F58" s="2" t="s">
        <v>153</v>
      </c>
      <c r="G58" s="8"/>
      <c r="H58" s="2" t="s">
        <v>51</v>
      </c>
      <c r="I58" s="2" t="s">
        <v>27</v>
      </c>
      <c r="J58" s="2" t="s">
        <v>24</v>
      </c>
      <c r="K58" s="8"/>
      <c r="L58" s="2" t="e">
        <f>VLOOKUP(D58,VLOOKUP!A:D,2,FALSE)</f>
        <v>#N/A</v>
      </c>
      <c r="M58" s="2" t="e">
        <f>VLOOKUP(D58,VLOOKUP!A:D,3,FALSE)</f>
        <v>#N/A</v>
      </c>
      <c r="N58" s="2" t="str">
        <f>VLOOKUP(Final!D58,'Satisfied By'!A:E,4,FALSE)</f>
        <v>N/A – This is an architectural redundancy requirement confirmed by overall system design reviews.</v>
      </c>
      <c r="O58" s="2" t="str">
        <f>VLOOKUP(Final!D58,'Satisfied By'!A:E,5,FALSE)</f>
        <v>It is not represented by a specific L3 behavior.</v>
      </c>
      <c r="P58" s="2"/>
      <c r="Q58" s="2"/>
      <c r="R58" s="2"/>
      <c r="S58" s="2"/>
    </row>
    <row r="59" spans="1:19" ht="45" hidden="1" x14ac:dyDescent="0.25">
      <c r="A59" s="4">
        <v>131</v>
      </c>
      <c r="B59" s="2" t="s">
        <v>2</v>
      </c>
      <c r="C59" s="8"/>
      <c r="D59" s="4" t="s">
        <v>257</v>
      </c>
      <c r="E59" s="2" t="s">
        <v>406</v>
      </c>
      <c r="F59" s="2" t="s">
        <v>151</v>
      </c>
      <c r="G59" s="8"/>
      <c r="H59" s="2" t="s">
        <v>51</v>
      </c>
      <c r="I59" s="2" t="s">
        <v>27</v>
      </c>
      <c r="J59" s="2" t="s">
        <v>21</v>
      </c>
      <c r="K59" s="8"/>
      <c r="L59" s="2" t="e">
        <f>VLOOKUP(D59,VLOOKUP!A:D,2,FALSE)</f>
        <v>#N/A</v>
      </c>
      <c r="M59" s="2" t="e">
        <f>VLOOKUP(D59,VLOOKUP!A:D,3,FALSE)</f>
        <v>#N/A</v>
      </c>
      <c r="N59" s="2" t="str">
        <f>VLOOKUP(Final!D59,'Satisfied By'!A:E,4,FALSE)</f>
        <v>N/A – Backup power is provided by the overall power system design and is verified at the system level.</v>
      </c>
      <c r="O59" s="2" t="str">
        <f>VLOOKUP(Final!D59,'Satisfied By'!A:E,5,FALSE)</f>
        <v>This requirement is met by hardware design, not a discrete L3 function.</v>
      </c>
      <c r="P59" s="2"/>
      <c r="Q59" s="2"/>
      <c r="R59" s="2"/>
      <c r="S59" s="2"/>
    </row>
    <row r="60" spans="1:19" ht="60" hidden="1" x14ac:dyDescent="0.25">
      <c r="A60" s="4">
        <v>135</v>
      </c>
      <c r="B60" s="2" t="s">
        <v>2</v>
      </c>
      <c r="C60" s="8"/>
      <c r="D60" s="4" t="s">
        <v>258</v>
      </c>
      <c r="E60" s="2" t="s">
        <v>407</v>
      </c>
      <c r="F60" s="2" t="s">
        <v>152</v>
      </c>
      <c r="G60" s="8"/>
      <c r="H60" s="2" t="s">
        <v>51</v>
      </c>
      <c r="I60" s="2" t="s">
        <v>27</v>
      </c>
      <c r="J60" s="2" t="s">
        <v>20</v>
      </c>
      <c r="K60" s="8"/>
      <c r="L60" s="2" t="e">
        <f>VLOOKUP(D60,VLOOKUP!A:D,2,FALSE)</f>
        <v>#N/A</v>
      </c>
      <c r="M60" s="2" t="e">
        <f>VLOOKUP(D60,VLOOKUP!A:D,3,FALSE)</f>
        <v>#N/A</v>
      </c>
      <c r="N60" s="2" t="str">
        <f>VLOOKUP(Final!D60,'Satisfied By'!A:E,4,FALSE)</f>
        <v>N/A – Hydraulic isolation is managed by system‑level diagnostic and hardware control processes.</v>
      </c>
      <c r="O60" s="2" t="str">
        <f>VLOOKUP(Final!D60,'Satisfied By'!A:E,5,FALSE)</f>
        <v>It is verified through integrated safety tests.</v>
      </c>
      <c r="P60" s="2"/>
      <c r="Q60" s="2"/>
      <c r="R60" s="2"/>
      <c r="S60" s="2"/>
    </row>
    <row r="61" spans="1:19" ht="60" hidden="1" x14ac:dyDescent="0.25">
      <c r="A61" s="4">
        <v>139</v>
      </c>
      <c r="B61" s="2" t="s">
        <v>2</v>
      </c>
      <c r="C61" s="8"/>
      <c r="D61" s="4" t="s">
        <v>259</v>
      </c>
      <c r="E61" s="2" t="s">
        <v>408</v>
      </c>
      <c r="F61" s="2" t="s">
        <v>154</v>
      </c>
      <c r="G61" s="8"/>
      <c r="H61" s="2" t="s">
        <v>51</v>
      </c>
      <c r="I61" s="2" t="s">
        <v>27</v>
      </c>
      <c r="J61" s="2" t="s">
        <v>24</v>
      </c>
      <c r="K61" s="8"/>
      <c r="L61" s="2" t="e">
        <f>VLOOKUP(D61,VLOOKUP!A:D,2,FALSE)</f>
        <v>#N/A</v>
      </c>
      <c r="M61" s="2" t="e">
        <f>VLOOKUP(D61,VLOOKUP!A:D,3,FALSE)</f>
        <v>#N/A</v>
      </c>
      <c r="N61" s="2" t="str">
        <f>VLOOKUP(Final!D61,'Satisfied By'!A:E,4,FALSE)</f>
        <v>N/A – Dual data buses are a design requirement addressed by the system architecture and not by a functional L3 behavior.</v>
      </c>
      <c r="O61" s="2" t="str">
        <f>VLOOKUP(Final!D61,'Satisfied By'!A:E,5,FALSE)</f>
        <v>It is confirmed during system integration testing.</v>
      </c>
      <c r="P61" s="2"/>
      <c r="Q61" s="2"/>
      <c r="R61" s="2"/>
      <c r="S61" s="2"/>
    </row>
    <row r="62" spans="1:19" ht="60" hidden="1" x14ac:dyDescent="0.25">
      <c r="A62" s="4">
        <v>143</v>
      </c>
      <c r="B62" s="2" t="s">
        <v>2</v>
      </c>
      <c r="C62" s="8"/>
      <c r="D62" s="4" t="s">
        <v>260</v>
      </c>
      <c r="E62" s="2" t="s">
        <v>409</v>
      </c>
      <c r="F62" s="2" t="s">
        <v>57</v>
      </c>
      <c r="G62" s="8"/>
      <c r="H62" s="2" t="s">
        <v>51</v>
      </c>
      <c r="I62" s="2" t="s">
        <v>27</v>
      </c>
      <c r="J62" s="2" t="s">
        <v>24</v>
      </c>
      <c r="K62" s="8"/>
      <c r="L62" s="2" t="e">
        <f>VLOOKUP(D62,VLOOKUP!A:D,2,FALSE)</f>
        <v>#N/A</v>
      </c>
      <c r="M62" s="2" t="e">
        <f>VLOOKUP(D62,VLOOKUP!A:D,3,FALSE)</f>
        <v>#N/A</v>
      </c>
      <c r="N62" s="2" t="str">
        <f>VLOOKUP(Final!D62,'Satisfied By'!A:E,4,FALSE)</f>
        <v>N/A – Fail-safe locks are implemented in the mechanical design and verified via hardware testing.</v>
      </c>
      <c r="O62" s="2" t="str">
        <f>VLOOKUP(Final!D62,'Satisfied By'!A:E,5,FALSE)</f>
        <v>They are not represented as an L3 functional activity.</v>
      </c>
      <c r="P62" s="2"/>
      <c r="Q62" s="2"/>
      <c r="R62" s="2"/>
      <c r="S62" s="2"/>
    </row>
    <row r="63" spans="1:19" ht="60" hidden="1" x14ac:dyDescent="0.25">
      <c r="A63" s="4">
        <v>147</v>
      </c>
      <c r="B63" s="2" t="s">
        <v>2</v>
      </c>
      <c r="C63" s="8"/>
      <c r="D63" s="4" t="s">
        <v>261</v>
      </c>
      <c r="E63" s="2" t="s">
        <v>410</v>
      </c>
      <c r="F63" s="2" t="s">
        <v>59</v>
      </c>
      <c r="G63" s="8"/>
      <c r="H63" s="2" t="s">
        <v>51</v>
      </c>
      <c r="I63" s="2" t="s">
        <v>27</v>
      </c>
      <c r="J63" s="2" t="s">
        <v>21</v>
      </c>
      <c r="K63" s="8"/>
      <c r="L63" s="2" t="e">
        <f>VLOOKUP(D63,VLOOKUP!A:D,2,FALSE)</f>
        <v>#N/A</v>
      </c>
      <c r="M63" s="2" t="e">
        <f>VLOOKUP(D63,VLOOKUP!A:D,3,FALSE)</f>
        <v>#N/A</v>
      </c>
      <c r="N63" s="2" t="str">
        <f>VLOOKUP(Final!D63,'Satisfied By'!A:E,4,FALSE)</f>
        <v>N/A – Redundant IMUs are a hardware requirement ensured by the system’s overall design and testing.</v>
      </c>
      <c r="O63" s="2" t="str">
        <f>VLOOKUP(Final!D63,'Satisfied By'!A:E,5,FALSE)</f>
        <v>This requirement is verified at the system level.</v>
      </c>
      <c r="P63" s="2"/>
      <c r="Q63" s="2"/>
      <c r="R63" s="2"/>
      <c r="S63" s="2"/>
    </row>
    <row r="64" spans="1:19" ht="45" x14ac:dyDescent="0.25">
      <c r="A64" s="4">
        <v>5</v>
      </c>
      <c r="B64" s="2" t="s">
        <v>14</v>
      </c>
      <c r="C64" s="8"/>
      <c r="D64" s="4" t="s">
        <v>262</v>
      </c>
      <c r="E64" s="2" t="s">
        <v>411</v>
      </c>
      <c r="F64" s="2" t="s">
        <v>32</v>
      </c>
      <c r="G64" s="8"/>
      <c r="H64" s="2" t="s">
        <v>26</v>
      </c>
      <c r="I64" s="2" t="s">
        <v>31</v>
      </c>
      <c r="J64" s="2" t="s">
        <v>22</v>
      </c>
      <c r="K64" s="8"/>
      <c r="L64" s="2" t="str">
        <f>VLOOKUP(D64,VLOOKUP!A:D,2,FALSE)</f>
        <v>F1: Manage Refueling Requests_THIS
F2: Control Autonomous Docking_THIS
F3: Execute Fuel Transfer_THIS</v>
      </c>
      <c r="M64" s="2" t="str">
        <f>VLOOKUP(D64,VLOOKUP!A:D,3,FALSE)</f>
        <v>F1-F3 collectively ensure mission success under nominal conditions.</v>
      </c>
      <c r="N64" s="2" t="str">
        <f>VLOOKUP(Final!D64,'Satisfied By'!A:E,4,FALSE)</f>
        <v>F1.6: Transmit Status &amp; Reports</v>
      </c>
      <c r="O64" s="2" t="str">
        <f>VLOOKUP(Final!D64,'Satisfied By'!A:E,5,FALSE)</f>
        <v>This behavior gathers and transmits post‑mission data that are used to verify that mission success rates meet the required threshold.</v>
      </c>
      <c r="P64" s="2"/>
      <c r="Q64" s="2"/>
      <c r="R64" s="2"/>
      <c r="S64" s="2"/>
    </row>
    <row r="65" spans="1:19" ht="30" x14ac:dyDescent="0.25">
      <c r="A65" s="4">
        <v>8</v>
      </c>
      <c r="B65" s="2" t="s">
        <v>14</v>
      </c>
      <c r="C65" s="8"/>
      <c r="D65" s="4" t="s">
        <v>263</v>
      </c>
      <c r="E65" s="2" t="s">
        <v>412</v>
      </c>
      <c r="F65" s="2" t="s">
        <v>33</v>
      </c>
      <c r="G65" s="8"/>
      <c r="H65" s="2" t="s">
        <v>26</v>
      </c>
      <c r="I65" s="2" t="s">
        <v>29</v>
      </c>
      <c r="J65" s="2" t="s">
        <v>24</v>
      </c>
      <c r="K65" s="8"/>
      <c r="L65" s="2" t="str">
        <f>VLOOKUP(D65,VLOOKUP!A:D,2,FALSE)</f>
        <v>F4: Monitor Safety &amp; Diagnostics_THIS</v>
      </c>
      <c r="M65" s="2" t="str">
        <f>VLOOKUP(D65,VLOOKUP!A:D,3,FALSE)</f>
        <v>F4 logs mission failures for diagnostics.</v>
      </c>
      <c r="N65" s="2" t="str">
        <f>VLOOKUP(Final!D65,'Satisfied By'!A:E,4,FALSE)</f>
        <v>F4.3: Log Failures and Archive Data</v>
      </c>
      <c r="O65" s="2" t="str">
        <f>VLOOKUP(Final!D65,'Satisfied By'!A:E,5,FALSE)</f>
        <v>This activity records failures and archives diagnostic information for later analysis.</v>
      </c>
      <c r="P65" s="2"/>
      <c r="Q65" s="2"/>
      <c r="R65" s="2"/>
      <c r="S65" s="2"/>
    </row>
    <row r="66" spans="1:19" ht="45" x14ac:dyDescent="0.25">
      <c r="A66" s="4">
        <v>12</v>
      </c>
      <c r="B66" s="2" t="s">
        <v>14</v>
      </c>
      <c r="C66" s="8"/>
      <c r="D66" s="4" t="s">
        <v>264</v>
      </c>
      <c r="E66" s="2" t="s">
        <v>413</v>
      </c>
      <c r="F66" s="2" t="s">
        <v>155</v>
      </c>
      <c r="G66" s="8"/>
      <c r="H66" s="2" t="s">
        <v>26</v>
      </c>
      <c r="I66" s="2" t="s">
        <v>31</v>
      </c>
      <c r="J66" s="2" t="s">
        <v>21</v>
      </c>
      <c r="K66" s="8"/>
      <c r="L66" s="2" t="str">
        <f>VLOOKUP(D66,VLOOKUP!A:D,2,FALSE)</f>
        <v>F4: Monitor Safety &amp; Diagnostics_THIS</v>
      </c>
      <c r="M66" s="2" t="str">
        <f>VLOOKUP(D66,VLOOKUP!A:D,3,FALSE)</f>
        <v>F4 recovers from faults and resumes operations.</v>
      </c>
      <c r="N66" s="2" t="str">
        <f>VLOOKUP(Final!D66,'Satisfied By'!A:E,4,FALSE)</f>
        <v>F4.4: Manage Fault Recovery</v>
      </c>
      <c r="O66" s="2" t="str">
        <f>VLOOKUP(Final!D66,'Satisfied By'!A:E,5,FALSE)</f>
        <v>This L3 behavior is designed to detect faults and rapidly restore operations within the specified timeframe.</v>
      </c>
      <c r="P66" s="2"/>
      <c r="Q66" s="2"/>
      <c r="R66" s="2"/>
      <c r="S66" s="2"/>
    </row>
    <row r="67" spans="1:19" ht="30" x14ac:dyDescent="0.25">
      <c r="A67" s="4">
        <v>15</v>
      </c>
      <c r="B67" s="2" t="s">
        <v>14</v>
      </c>
      <c r="C67" s="8"/>
      <c r="D67" s="4" t="s">
        <v>265</v>
      </c>
      <c r="E67" s="2" t="s">
        <v>414</v>
      </c>
      <c r="F67" s="2" t="s">
        <v>156</v>
      </c>
      <c r="G67" s="8"/>
      <c r="H67" s="2" t="s">
        <v>26</v>
      </c>
      <c r="I67" s="2" t="s">
        <v>31</v>
      </c>
      <c r="J67" s="2" t="s">
        <v>22</v>
      </c>
      <c r="K67" s="8"/>
      <c r="L67" s="2" t="str">
        <f>VLOOKUP(D67,VLOOKUP!A:D,2,FALSE)</f>
        <v>F4: Monitor Safety &amp; Diagnostics_THIS</v>
      </c>
      <c r="M67" s="2" t="str">
        <f>VLOOKUP(D67,VLOOKUP!A:D,3,FALSE)</f>
        <v>F4 limits mission aborts caused by subsystem failures.</v>
      </c>
      <c r="N67" s="2" t="str">
        <f>VLOOKUP(Final!D67,'Satisfied By'!A:E,4,FALSE)</f>
        <v>F4: Monitor Safety &amp; Diagnostics (L2)</v>
      </c>
      <c r="O67" s="2" t="str">
        <f>VLOOKUP(Final!D67,'Satisfied By'!A:E,5,FALSE)</f>
        <v>The integrated safety function is designed to minimize false aborts through robust diagnostic checks.</v>
      </c>
      <c r="P67" s="2"/>
      <c r="Q67" s="2"/>
      <c r="R67" s="2"/>
      <c r="S67" s="2"/>
    </row>
    <row r="68" spans="1:19" ht="60" x14ac:dyDescent="0.25">
      <c r="A68" s="4">
        <v>18</v>
      </c>
      <c r="B68" s="2" t="s">
        <v>14</v>
      </c>
      <c r="C68" s="8"/>
      <c r="D68" s="4" t="s">
        <v>266</v>
      </c>
      <c r="E68" s="2" t="s">
        <v>415</v>
      </c>
      <c r="F68" s="2" t="s">
        <v>157</v>
      </c>
      <c r="G68" s="8"/>
      <c r="H68" s="2" t="s">
        <v>26</v>
      </c>
      <c r="I68" s="2" t="s">
        <v>27</v>
      </c>
      <c r="J68" s="2" t="s">
        <v>24</v>
      </c>
      <c r="K68" s="8"/>
      <c r="L68" s="2" t="str">
        <f>VLOOKUP(D68,VLOOKUP!A:D,2,FALSE)</f>
        <v>F4: Monitor Safety &amp; Diagnostics_THIS</v>
      </c>
      <c r="M68" s="2" t="str">
        <f>VLOOKUP(D68,VLOOKUP!A:D,3,FALSE)</f>
        <v>F4 archives mission data.</v>
      </c>
      <c r="N68" s="2" t="str">
        <f>VLOOKUP(Final!D68,'Satisfied By'!A:E,4,FALSE)</f>
        <v>F4.3: Log Failures and Archive Data – This behavior archives mission and diagnostic data for the required retention period.</v>
      </c>
      <c r="O68" s="2">
        <f>VLOOKUP(Final!D68,'Satisfied By'!A:E,5,FALSE)</f>
        <v>0</v>
      </c>
      <c r="P68" s="2"/>
      <c r="Q68" s="2"/>
      <c r="R68" s="2"/>
      <c r="S68" s="2"/>
    </row>
    <row r="69" spans="1:19" ht="75" x14ac:dyDescent="0.25">
      <c r="A69" s="4">
        <v>21</v>
      </c>
      <c r="B69" s="2" t="s">
        <v>14</v>
      </c>
      <c r="C69" s="8"/>
      <c r="D69" s="4" t="s">
        <v>267</v>
      </c>
      <c r="E69" s="2" t="s">
        <v>416</v>
      </c>
      <c r="F69" s="2" t="s">
        <v>36</v>
      </c>
      <c r="G69" s="8"/>
      <c r="H69" s="2" t="s">
        <v>26</v>
      </c>
      <c r="I69" s="2" t="s">
        <v>29</v>
      </c>
      <c r="J69" s="2" t="s">
        <v>24</v>
      </c>
      <c r="K69" s="8"/>
      <c r="L69" s="2" t="str">
        <f>VLOOKUP(D69,VLOOKUP!A:D,2,FALSE)</f>
        <v>F1: Manage Refueling Requests_THIS</v>
      </c>
      <c r="M69" s="2" t="str">
        <f>VLOOKUP(D69,VLOOKUP!A:D,3,FALSE)</f>
        <v>F1 generates post-mission reports.</v>
      </c>
      <c r="N69" s="2" t="str">
        <f>VLOOKUP(Final!D69,'Satisfied By'!A:E,4,FALSE)</f>
        <v>F1.6: Transmit Status &amp; Reports – This activity compiles and sends detailed post-mission reports, thereby satisfying the reporting requirement.</v>
      </c>
      <c r="O69" s="2">
        <f>VLOOKUP(Final!D69,'Satisfied By'!A:E,5,FALSE)</f>
        <v>0</v>
      </c>
      <c r="P69" s="2"/>
      <c r="Q69" s="2"/>
      <c r="R69" s="2"/>
      <c r="S69" s="2"/>
    </row>
    <row r="70" spans="1:19" ht="45" x14ac:dyDescent="0.25">
      <c r="A70" s="4">
        <v>24</v>
      </c>
      <c r="B70" s="2" t="s">
        <v>14</v>
      </c>
      <c r="C70" s="8"/>
      <c r="D70" s="4" t="s">
        <v>268</v>
      </c>
      <c r="E70" s="2" t="s">
        <v>508</v>
      </c>
      <c r="F70" s="2" t="s">
        <v>158</v>
      </c>
      <c r="G70" s="8"/>
      <c r="H70" s="2" t="s">
        <v>26</v>
      </c>
      <c r="I70" s="2" t="s">
        <v>27</v>
      </c>
      <c r="J70" s="2" t="s">
        <v>20</v>
      </c>
      <c r="K70" s="8"/>
      <c r="L70" s="2" t="str">
        <f>VLOOKUP(D70,VLOOKUP!A:D,2,FALSE)</f>
        <v>F4: Monitor Safety &amp; Diagnostics_THIS</v>
      </c>
      <c r="M70" s="2" t="str">
        <f>VLOOKUP(D70,VLOOKUP!A:D,3,FALSE)</f>
        <v>F4 sends status notifications to operators.</v>
      </c>
      <c r="N70" s="2" t="str">
        <f>VLOOKUP(Final!D70,'Satisfied By'!A:E,4,FALSE)</f>
        <v>F4.6: Send Status Notifications</v>
      </c>
      <c r="O70" s="2" t="str">
        <f>VLOOKUP(Final!D70,'Satisfied By'!A:E,5,FALSE)</f>
        <v>This behavior sends status notifications to operators in real-time, ensuring timely updates on mission success or failure.</v>
      </c>
      <c r="P70" s="2"/>
      <c r="Q70" s="2"/>
      <c r="R70" s="2"/>
      <c r="S70" s="2"/>
    </row>
    <row r="71" spans="1:19" ht="45" x14ac:dyDescent="0.25">
      <c r="A71" s="4">
        <v>27</v>
      </c>
      <c r="B71" s="2" t="s">
        <v>14</v>
      </c>
      <c r="C71" s="8"/>
      <c r="D71" s="4" t="s">
        <v>269</v>
      </c>
      <c r="E71" s="2" t="s">
        <v>417</v>
      </c>
      <c r="F71" s="2" t="s">
        <v>192</v>
      </c>
      <c r="G71" s="8"/>
      <c r="H71" s="2" t="s">
        <v>26</v>
      </c>
      <c r="I71" s="2" t="s">
        <v>31</v>
      </c>
      <c r="J71" s="2" t="s">
        <v>22</v>
      </c>
      <c r="K71" s="8"/>
      <c r="L71" s="2" t="str">
        <f>VLOOKUP(D71,VLOOKUP!A:D,2,FALSE)</f>
        <v>F4: Monitor Safety &amp; Diagnostics_THIS</v>
      </c>
      <c r="M71" s="2" t="str">
        <f>VLOOKUP(D71,VLOOKUP!A:D,3,FALSE)</f>
        <v>F4 limits false-positive mission aborts.</v>
      </c>
      <c r="N71" s="2" t="str">
        <f>VLOOKUP(Final!D71,'Satisfied By'!A:E,4,FALSE)</f>
        <v>F4.6: Send Status Notifications</v>
      </c>
      <c r="O71" s="2" t="str">
        <f>VLOOKUP(Final!D71,'Satisfied By'!A:E,5,FALSE)</f>
        <v>This behavior helps to minimize false mission aborts by accurately logging and notifying operators about the mission status.</v>
      </c>
      <c r="P71" s="2"/>
      <c r="Q71" s="2"/>
      <c r="R71" s="2"/>
      <c r="S71" s="2"/>
    </row>
    <row r="72" spans="1:19" ht="45" x14ac:dyDescent="0.25">
      <c r="A72" s="4">
        <v>30</v>
      </c>
      <c r="B72" s="2" t="s">
        <v>14</v>
      </c>
      <c r="C72" s="8"/>
      <c r="D72" s="4" t="s">
        <v>270</v>
      </c>
      <c r="E72" s="2" t="s">
        <v>418</v>
      </c>
      <c r="F72" s="2" t="s">
        <v>193</v>
      </c>
      <c r="G72" s="8"/>
      <c r="H72" s="2" t="s">
        <v>26</v>
      </c>
      <c r="I72" s="2" t="s">
        <v>27</v>
      </c>
      <c r="J72" s="2" t="s">
        <v>21</v>
      </c>
      <c r="K72" s="8"/>
      <c r="L72" s="2" t="str">
        <f>VLOOKUP(D72,VLOOKUP!A:D,2,FALSE)</f>
        <v>F3: Execute Fuel Transfer_THIS</v>
      </c>
      <c r="M72" s="2" t="str">
        <f>VLOOKUP(D72,VLOOKUP!A:D,3,FALSE)</f>
        <v>F3 validates fuel compatibility between aircraft.</v>
      </c>
      <c r="N72" s="2" t="str">
        <f>VLOOKUP(Final!D72,'Satisfied By'!A:E,4,FALSE)</f>
        <v>F3.1: Validate Fuel Compatibility</v>
      </c>
      <c r="O72" s="2" t="str">
        <f>VLOOKUP(Final!D72,'Satisfied By'!A:E,5,FALSE)</f>
        <v>This activity ensures that only compatible fuel types are used, validating the compatibility of the fuel before the transfer begins.</v>
      </c>
      <c r="P72" s="2"/>
      <c r="Q72" s="2"/>
      <c r="R72" s="2"/>
      <c r="S72" s="2"/>
    </row>
    <row r="73" spans="1:19" ht="60" hidden="1" x14ac:dyDescent="0.25">
      <c r="A73" s="4">
        <v>35</v>
      </c>
      <c r="B73" s="2" t="s">
        <v>8</v>
      </c>
      <c r="C73" s="8"/>
      <c r="D73" s="4" t="s">
        <v>271</v>
      </c>
      <c r="E73" s="2" t="s">
        <v>419</v>
      </c>
      <c r="F73" s="2" t="s">
        <v>159</v>
      </c>
      <c r="G73" s="8"/>
      <c r="H73" s="2" t="s">
        <v>18</v>
      </c>
      <c r="I73" s="2" t="s">
        <v>27</v>
      </c>
      <c r="J73" s="2" t="s">
        <v>21</v>
      </c>
      <c r="K73" s="8"/>
      <c r="L73" s="2" t="str">
        <f>VLOOKUP(D73,VLOOKUP!A:D,2,FALSE)</f>
        <v>None</v>
      </c>
      <c r="M73" s="2" t="str">
        <f>VLOOKUP(D73,VLOOKUP!A:D,3,FALSE)</f>
        <v>Pump fault detection is not explicitly mapped to any function.</v>
      </c>
      <c r="N73" s="2" t="str">
        <f>VLOOKUP(Final!D73,'Satisfied By'!A:E,4,FALSE)</f>
        <v>N/A – Fault detection is part of the integrated diagnostic system and not covered by an individual L3 behavior.</v>
      </c>
      <c r="O73" s="2" t="str">
        <f>VLOOKUP(Final!D73,'Satisfied By'!A:E,5,FALSE)</f>
        <v>Fault detection is part of the overall system functionality for monitoring and preventing pump failures.</v>
      </c>
      <c r="P73" s="2"/>
      <c r="Q73" s="2"/>
      <c r="R73" s="2"/>
      <c r="S73" s="2"/>
    </row>
    <row r="74" spans="1:19" ht="60" hidden="1" x14ac:dyDescent="0.25">
      <c r="A74" s="4">
        <v>39</v>
      </c>
      <c r="B74" s="2" t="s">
        <v>8</v>
      </c>
      <c r="C74" s="8"/>
      <c r="D74" s="4" t="s">
        <v>272</v>
      </c>
      <c r="E74" s="2" t="s">
        <v>420</v>
      </c>
      <c r="F74" s="2" t="s">
        <v>160</v>
      </c>
      <c r="G74" s="8"/>
      <c r="H74" s="2" t="s">
        <v>18</v>
      </c>
      <c r="I74" s="2" t="s">
        <v>29</v>
      </c>
      <c r="J74" s="2" t="s">
        <v>22</v>
      </c>
      <c r="K74" s="8"/>
      <c r="L74" s="2" t="str">
        <f>VLOOKUP(D74,VLOOKUP!A:D,2,FALSE)</f>
        <v>None</v>
      </c>
      <c r="M74" s="2" t="str">
        <f>VLOOKUP(D74,VLOOKUP!A:D,3,FALSE)</f>
        <v>Predictive pump analysis is not explicitly mapped.</v>
      </c>
      <c r="N74" s="2" t="str">
        <f>VLOOKUP(Final!D74,'Satisfied By'!A:E,4,FALSE)</f>
        <v>N/A – Predictive pump analysis is verified at the system level and not represented by a discrete L3 behavior.</v>
      </c>
      <c r="O74" s="2" t="str">
        <f>VLOOKUP(Final!D74,'Satisfied By'!A:E,5,FALSE)</f>
        <v>This is verified through system testing, where the predictive maintenance algorithms are tested across a variety of operational conditions.</v>
      </c>
      <c r="P74" s="2"/>
      <c r="Q74" s="2"/>
      <c r="R74" s="2"/>
      <c r="S74" s="2"/>
    </row>
    <row r="75" spans="1:19" ht="45" hidden="1" x14ac:dyDescent="0.25">
      <c r="A75" s="4">
        <v>41</v>
      </c>
      <c r="B75" s="2" t="s">
        <v>8</v>
      </c>
      <c r="C75" s="8"/>
      <c r="D75" s="4" t="s">
        <v>273</v>
      </c>
      <c r="E75" s="2" t="s">
        <v>421</v>
      </c>
      <c r="F75" s="2" t="s">
        <v>161</v>
      </c>
      <c r="G75" s="8"/>
      <c r="H75" s="2" t="s">
        <v>18</v>
      </c>
      <c r="I75" s="2" t="s">
        <v>31</v>
      </c>
      <c r="J75" s="2" t="s">
        <v>21</v>
      </c>
      <c r="K75" s="8"/>
      <c r="L75" s="2" t="str">
        <f>VLOOKUP(D75,VLOOKUP!A:D,2,FALSE)</f>
        <v>None</v>
      </c>
      <c r="M75" s="2" t="str">
        <f>VLOOKUP(D75,VLOOKUP!A:D,3,FALSE)</f>
        <v>Fuel temperature monitoring is not explicitly mapped.</v>
      </c>
      <c r="N75" s="2" t="str">
        <f>VLOOKUP(Final!D75,'Satisfied By'!A:E,4,FALSE)</f>
        <v>N/A – Fuel temperature monitoring is part of the integrated sensor suite.</v>
      </c>
      <c r="O75" s="2" t="str">
        <f>VLOOKUP(Final!D75,'Satisfied By'!A:E,5,FALSE)</f>
        <v>This is confirmed through sensor calibration and overall system-level testing.</v>
      </c>
      <c r="P75" s="2"/>
      <c r="Q75" s="2"/>
      <c r="R75" s="2"/>
      <c r="S75" s="2"/>
    </row>
    <row r="76" spans="1:19" ht="45" hidden="1" x14ac:dyDescent="0.25">
      <c r="A76" s="4">
        <v>45</v>
      </c>
      <c r="B76" s="2" t="s">
        <v>8</v>
      </c>
      <c r="C76" s="8"/>
      <c r="D76" s="4" t="s">
        <v>274</v>
      </c>
      <c r="E76" s="2" t="s">
        <v>422</v>
      </c>
      <c r="F76" s="2" t="s">
        <v>194</v>
      </c>
      <c r="G76" s="8"/>
      <c r="H76" s="2" t="s">
        <v>18</v>
      </c>
      <c r="I76" s="2" t="s">
        <v>31</v>
      </c>
      <c r="J76" s="2" t="s">
        <v>22</v>
      </c>
      <c r="K76" s="8"/>
      <c r="L76" s="2" t="str">
        <f>VLOOKUP(D76,VLOOKUP!A:D,2,FALSE)</f>
        <v>None</v>
      </c>
      <c r="M76" s="2" t="str">
        <f>VLOOKUP(D76,VLOOKUP!A:D,3,FALSE)</f>
        <v>Hydraulic fault speed is not explicitly mapped.</v>
      </c>
      <c r="N76" s="2" t="str">
        <f>VLOOKUP(Final!D76,'Satisfied By'!A:E,4,FALSE)</f>
        <v>N/A – Hydraulic fault detection is part of the overall diagnostic system.</v>
      </c>
      <c r="O76" s="2" t="str">
        <f>VLOOKUP(Final!D76,'Satisfied By'!A:E,5,FALSE)</f>
        <v>Verified during integrated testing where hydraulic system responses are monitored for speed and accuracy.</v>
      </c>
      <c r="P76" s="2"/>
      <c r="Q76" s="2"/>
      <c r="R76" s="2"/>
      <c r="S76" s="2"/>
    </row>
    <row r="77" spans="1:19" ht="45" x14ac:dyDescent="0.25">
      <c r="A77" s="4">
        <v>49</v>
      </c>
      <c r="B77" s="2" t="s">
        <v>8</v>
      </c>
      <c r="C77" s="8"/>
      <c r="D77" s="4" t="s">
        <v>275</v>
      </c>
      <c r="E77" s="2" t="s">
        <v>423</v>
      </c>
      <c r="F77" s="2" t="s">
        <v>40</v>
      </c>
      <c r="G77" s="8"/>
      <c r="H77" s="2" t="s">
        <v>18</v>
      </c>
      <c r="I77" s="2" t="s">
        <v>27</v>
      </c>
      <c r="J77" s="2" t="s">
        <v>20</v>
      </c>
      <c r="K77" s="8"/>
      <c r="L77" s="2" t="str">
        <f>VLOOKUP(D77,VLOOKUP!A:D,2,FALSE)</f>
        <v>F4: Monitor Safety &amp; Diagnostics_THIS</v>
      </c>
      <c r="M77" s="2" t="str">
        <f>VLOOKUP(D77,VLOOKUP!A:D,3,FALSE)</f>
        <v>F4 isolates faulty sensors during diagnostics.</v>
      </c>
      <c r="N77" s="2" t="str">
        <f>VLOOKUP(Final!D77,'Satisfied By'!A:E,4,FALSE)</f>
        <v>F4.5: Sensor Isolation</v>
      </c>
      <c r="O77" s="2" t="str">
        <f>VLOOKUP(Final!D77,'Satisfied By'!A:E,5,FALSE)</f>
        <v>This behavior isolates faulty sensors to prevent them from impacting system diagnostics, ensuring accurate analysis and continued operation.</v>
      </c>
      <c r="P77" s="2"/>
      <c r="Q77" s="2"/>
      <c r="R77" s="2"/>
      <c r="S77" s="2"/>
    </row>
    <row r="78" spans="1:19" ht="30" x14ac:dyDescent="0.25">
      <c r="A78" s="4">
        <v>53</v>
      </c>
      <c r="B78" s="2" t="s">
        <v>8</v>
      </c>
      <c r="C78" s="8"/>
      <c r="D78" s="4" t="s">
        <v>276</v>
      </c>
      <c r="E78" s="2" t="s">
        <v>424</v>
      </c>
      <c r="F78" s="2" t="s">
        <v>41</v>
      </c>
      <c r="G78" s="8"/>
      <c r="H78" s="2" t="s">
        <v>18</v>
      </c>
      <c r="I78" s="2" t="s">
        <v>27</v>
      </c>
      <c r="J78" s="2" t="s">
        <v>20</v>
      </c>
      <c r="K78" s="8"/>
      <c r="L78" s="2" t="str">
        <f>VLOOKUP(D78,VLOOKUP!A:D,2,FALSE)</f>
        <v>F4: Monitor Safety &amp; Diagnostics_THIS</v>
      </c>
      <c r="M78" s="2" t="str">
        <f>VLOOKUP(D78,VLOOKUP!A:D,3,FALSE)</f>
        <v>F4 alerts operators of low fuel pressure.</v>
      </c>
      <c r="N78" s="2" t="str">
        <f>VLOOKUP(Final!D78,'Satisfied By'!A:E,4,FALSE)</f>
        <v>F4.6: Send Status Notifications</v>
      </c>
      <c r="O78" s="2" t="str">
        <f>VLOOKUP(Final!D78,'Satisfied By'!A:E,5,FALSE)</f>
        <v>This behavior sends alerts to operators in real-time if fuel pressure falls below safe levels.</v>
      </c>
      <c r="P78" s="2"/>
      <c r="Q78" s="2"/>
      <c r="R78" s="2"/>
      <c r="S78" s="2"/>
    </row>
    <row r="79" spans="1:19" ht="30" x14ac:dyDescent="0.25">
      <c r="A79" s="4">
        <v>57</v>
      </c>
      <c r="B79" s="2" t="s">
        <v>8</v>
      </c>
      <c r="C79" s="8"/>
      <c r="D79" s="4" t="s">
        <v>277</v>
      </c>
      <c r="E79" s="2" t="s">
        <v>509</v>
      </c>
      <c r="F79" s="2" t="s">
        <v>195</v>
      </c>
      <c r="G79" s="8"/>
      <c r="H79" s="2" t="s">
        <v>18</v>
      </c>
      <c r="I79" s="2" t="s">
        <v>27</v>
      </c>
      <c r="J79" s="2" t="s">
        <v>20</v>
      </c>
      <c r="K79" s="8"/>
      <c r="L79" s="2" t="str">
        <f>VLOOKUP(D79,VLOOKUP!A:D,2,FALSE)</f>
        <v>None</v>
      </c>
      <c r="M79" s="2" t="str">
        <f>VLOOKUP(D79,VLOOKUP!A:D,3,FALSE)</f>
        <v>Log archive duration is not explicitly mapped.</v>
      </c>
      <c r="N79" s="2" t="str">
        <f>VLOOKUP(Final!D79,'Satisfied By'!A:E,4,FALSE)</f>
        <v>F4.3: Log Failures and Archive Data</v>
      </c>
      <c r="O79" s="2" t="str">
        <f>VLOOKUP(Final!D79,'Satisfied By'!A:E,5,FALSE)</f>
        <v>This activity ensures that diagnostic logs are stored for long-term retention, meeting the archival requirements.</v>
      </c>
      <c r="P79" s="2"/>
      <c r="Q79" s="2"/>
      <c r="R79" s="2"/>
      <c r="S79" s="2"/>
    </row>
    <row r="80" spans="1:19" ht="60" hidden="1" x14ac:dyDescent="0.25">
      <c r="A80" s="4">
        <v>122</v>
      </c>
      <c r="B80" s="2" t="s">
        <v>7</v>
      </c>
      <c r="C80" s="8"/>
      <c r="D80" s="4" t="s">
        <v>278</v>
      </c>
      <c r="E80" s="2" t="s">
        <v>425</v>
      </c>
      <c r="F80" s="2" t="s">
        <v>52</v>
      </c>
      <c r="G80" s="8"/>
      <c r="H80" s="2" t="s">
        <v>51</v>
      </c>
      <c r="I80" s="2" t="s">
        <v>29</v>
      </c>
      <c r="J80" s="2" t="s">
        <v>24</v>
      </c>
      <c r="K80" s="8"/>
      <c r="L80" s="2" t="e">
        <f>VLOOKUP(D80,VLOOKUP!A:D,2,FALSE)</f>
        <v>#N/A</v>
      </c>
      <c r="M80" s="2" t="e">
        <f>VLOOKUP(D80,VLOOKUP!A:D,3,FALSE)</f>
        <v>#N/A</v>
      </c>
      <c r="N80" s="2" t="str">
        <f>VLOOKUP(Final!D80,'Satisfied By'!A:E,4,FALSE)</f>
        <v>N/A – Compliance with FAA standards is verified at the system design and regulatory compliance level, not via a specific L3 activity.</v>
      </c>
      <c r="O80" s="2" t="str">
        <f>VLOOKUP(Final!D80,'Satisfied By'!A:E,5,FALSE)</f>
        <v>Verified through system-level certification processes and regulatory review.</v>
      </c>
      <c r="P80" s="2"/>
      <c r="Q80" s="2"/>
      <c r="R80" s="2"/>
      <c r="S80" s="2"/>
    </row>
    <row r="81" spans="1:19" ht="60" hidden="1" x14ac:dyDescent="0.25">
      <c r="A81" s="4">
        <v>125</v>
      </c>
      <c r="B81" s="2" t="s">
        <v>7</v>
      </c>
      <c r="C81" s="8"/>
      <c r="D81" s="4" t="s">
        <v>279</v>
      </c>
      <c r="E81" s="2" t="s">
        <v>426</v>
      </c>
      <c r="F81" s="2" t="s">
        <v>197</v>
      </c>
      <c r="G81" s="8"/>
      <c r="H81" s="2" t="s">
        <v>51</v>
      </c>
      <c r="I81" s="2" t="s">
        <v>29</v>
      </c>
      <c r="J81" s="2" t="s">
        <v>24</v>
      </c>
      <c r="K81" s="8"/>
      <c r="L81" s="2" t="e">
        <f>VLOOKUP(D81,VLOOKUP!A:D,2,FALSE)</f>
        <v>#N/A</v>
      </c>
      <c r="M81" s="2" t="e">
        <f>VLOOKUP(D81,VLOOKUP!A:D,3,FALSE)</f>
        <v>#N/A</v>
      </c>
      <c r="N81" s="2" t="str">
        <f>VLOOKUP(Final!D81,'Satisfied By'!A:E,4,FALSE)</f>
        <v>N/A – Compliance is verified through safety audits and system reviews rather than by an individual L3 behavior.</v>
      </c>
      <c r="O81" s="2" t="str">
        <f>VLOOKUP(Final!D81,'Satisfied By'!A:E,5,FALSE)</f>
        <v>Achieved through formal safety assessments and certification procedures.</v>
      </c>
      <c r="P81" s="2"/>
      <c r="Q81" s="2"/>
      <c r="R81" s="2"/>
      <c r="S81" s="2"/>
    </row>
    <row r="82" spans="1:19" ht="45" hidden="1" x14ac:dyDescent="0.25">
      <c r="A82" s="4">
        <v>130</v>
      </c>
      <c r="B82" s="2" t="s">
        <v>7</v>
      </c>
      <c r="C82" s="8"/>
      <c r="D82" s="4" t="s">
        <v>280</v>
      </c>
      <c r="E82" s="2" t="s">
        <v>427</v>
      </c>
      <c r="F82" s="2" t="s">
        <v>54</v>
      </c>
      <c r="G82" s="8"/>
      <c r="H82" s="2" t="s">
        <v>51</v>
      </c>
      <c r="I82" s="2" t="s">
        <v>29</v>
      </c>
      <c r="J82" s="2" t="s">
        <v>24</v>
      </c>
      <c r="K82" s="8"/>
      <c r="L82" s="2" t="e">
        <f>VLOOKUP(D82,VLOOKUP!A:D,2,FALSE)</f>
        <v>#N/A</v>
      </c>
      <c r="M82" s="2" t="e">
        <f>VLOOKUP(D82,VLOOKUP!A:D,3,FALSE)</f>
        <v>#N/A</v>
      </c>
      <c r="N82" s="2" t="str">
        <f>VLOOKUP(Final!D82,'Satisfied By'!A:E,4,FALSE)</f>
        <v>F7.4: Zero-Trust &amp; RF Masking</v>
      </c>
      <c r="O82" s="2" t="str">
        <f>VLOOKUP(Final!D82,'Satisfied By'!A:E,5,FALSE)</f>
        <v>This behavior applies security measures such as zero-trust and RF masking to comply with NATO cybersecurity standards.</v>
      </c>
      <c r="P82" s="2"/>
      <c r="Q82" s="2"/>
      <c r="R82" s="2"/>
      <c r="S82" s="2"/>
    </row>
    <row r="83" spans="1:19" ht="60" hidden="1" x14ac:dyDescent="0.25">
      <c r="A83" s="4">
        <v>133</v>
      </c>
      <c r="B83" s="2" t="s">
        <v>7</v>
      </c>
      <c r="C83" s="8"/>
      <c r="D83" s="4" t="s">
        <v>281</v>
      </c>
      <c r="E83" s="2" t="s">
        <v>428</v>
      </c>
      <c r="F83" s="2" t="s">
        <v>55</v>
      </c>
      <c r="G83" s="8"/>
      <c r="H83" s="2" t="s">
        <v>51</v>
      </c>
      <c r="I83" s="2" t="s">
        <v>27</v>
      </c>
      <c r="J83" s="2" t="s">
        <v>24</v>
      </c>
      <c r="K83" s="8"/>
      <c r="L83" s="2" t="e">
        <f>VLOOKUP(D83,VLOOKUP!A:D,2,FALSE)</f>
        <v>#N/A</v>
      </c>
      <c r="M83" s="2" t="e">
        <f>VLOOKUP(D83,VLOOKUP!A:D,3,FALSE)</f>
        <v>#N/A</v>
      </c>
      <c r="N83" s="2" t="str">
        <f>VLOOKUP(Final!D83,'Satisfied By'!A:E,4,FALSE)</f>
        <v>N/A – EMI compliance is tested during system integration and verified at the hardware and system level.</v>
      </c>
      <c r="O83" s="2" t="str">
        <f>VLOOKUP(Final!D83,'Satisfied By'!A:E,5,FALSE)</f>
        <v>Verified through electromagnetic compatibility (EMC) testing as part of the system certification process.</v>
      </c>
      <c r="P83" s="2"/>
      <c r="Q83" s="2"/>
      <c r="R83" s="2"/>
      <c r="S83" s="2"/>
    </row>
    <row r="84" spans="1:19" ht="45" hidden="1" x14ac:dyDescent="0.25">
      <c r="A84" s="4">
        <v>137</v>
      </c>
      <c r="B84" s="2" t="s">
        <v>7</v>
      </c>
      <c r="C84" s="8"/>
      <c r="D84" s="4" t="s">
        <v>282</v>
      </c>
      <c r="E84" s="2" t="s">
        <v>429</v>
      </c>
      <c r="F84" s="2" t="s">
        <v>198</v>
      </c>
      <c r="G84" s="8"/>
      <c r="H84" s="2" t="s">
        <v>51</v>
      </c>
      <c r="I84" s="2" t="s">
        <v>27</v>
      </c>
      <c r="J84" s="2" t="s">
        <v>21</v>
      </c>
      <c r="K84" s="8"/>
      <c r="L84" s="2" t="e">
        <f>VLOOKUP(D84,VLOOKUP!A:D,2,FALSE)</f>
        <v>#N/A</v>
      </c>
      <c r="M84" s="2" t="e">
        <f>VLOOKUP(D84,VLOOKUP!A:D,3,FALSE)</f>
        <v>#N/A</v>
      </c>
      <c r="N84" s="2" t="str">
        <f>VLOOKUP(Final!D84,'Satisfied By'!A:E,4,FALSE)</f>
        <v>F7.9: Send Threat Mitigation</v>
      </c>
      <c r="O84" s="2" t="str">
        <f>VLOOKUP(Final!D84,'Satisfied By'!A:E,5,FALSE)</f>
        <v>This activity ensures compliance with secure communication protocols, including those required by STANAG 4406.</v>
      </c>
      <c r="P84" s="2"/>
      <c r="Q84" s="2"/>
      <c r="R84" s="2"/>
      <c r="S84" s="2"/>
    </row>
    <row r="85" spans="1:19" ht="45" hidden="1" x14ac:dyDescent="0.25">
      <c r="A85" s="4">
        <v>141</v>
      </c>
      <c r="B85" s="2" t="s">
        <v>7</v>
      </c>
      <c r="C85" s="8"/>
      <c r="D85" s="4" t="s">
        <v>283</v>
      </c>
      <c r="E85" s="2" t="s">
        <v>430</v>
      </c>
      <c r="F85" s="2" t="s">
        <v>199</v>
      </c>
      <c r="G85" s="8"/>
      <c r="H85" s="2" t="s">
        <v>51</v>
      </c>
      <c r="I85" s="2" t="s">
        <v>27</v>
      </c>
      <c r="J85" s="2" t="s">
        <v>21</v>
      </c>
      <c r="K85" s="8"/>
      <c r="L85" s="2" t="e">
        <f>VLOOKUP(D85,VLOOKUP!A:D,2,FALSE)</f>
        <v>#N/A</v>
      </c>
      <c r="M85" s="2" t="e">
        <f>VLOOKUP(D85,VLOOKUP!A:D,3,FALSE)</f>
        <v>#N/A</v>
      </c>
      <c r="N85" s="2" t="str">
        <f>VLOOKUP(Final!D85,'Satisfied By'!A:E,4,FALSE)</f>
        <v>F7: Enforce Cybersecurity (L2)</v>
      </c>
      <c r="O85" s="2" t="str">
        <f>VLOOKUP(Final!D85,'Satisfied By'!A:E,5,FALSE)</f>
        <v>The overall cybersecurity strategy ensures that penetration tests reveal no vulnerabilities, securing the system against cyber threats.</v>
      </c>
      <c r="P85" s="2"/>
      <c r="Q85" s="2"/>
      <c r="R85" s="2"/>
      <c r="S85" s="2"/>
    </row>
    <row r="86" spans="1:19" ht="45" hidden="1" x14ac:dyDescent="0.25">
      <c r="A86" s="4">
        <v>145</v>
      </c>
      <c r="B86" s="2" t="s">
        <v>7</v>
      </c>
      <c r="C86" s="8"/>
      <c r="D86" s="4" t="s">
        <v>284</v>
      </c>
      <c r="E86" s="2" t="s">
        <v>431</v>
      </c>
      <c r="F86" s="2" t="s">
        <v>200</v>
      </c>
      <c r="G86" s="8"/>
      <c r="H86" s="2" t="s">
        <v>51</v>
      </c>
      <c r="I86" s="2" t="s">
        <v>27</v>
      </c>
      <c r="J86" s="2" t="s">
        <v>21</v>
      </c>
      <c r="K86" s="8"/>
      <c r="L86" s="2" t="e">
        <f>VLOOKUP(D86,VLOOKUP!A:D,2,FALSE)</f>
        <v>#N/A</v>
      </c>
      <c r="M86" s="2" t="e">
        <f>VLOOKUP(D86,VLOOKUP!A:D,3,FALSE)</f>
        <v>#N/A</v>
      </c>
      <c r="N86" s="2" t="str">
        <f>VLOOKUP(Final!D86,'Satisfied By'!A:E,4,FALSE)</f>
        <v>N/A – Compliance with ICAO standards is verified through regulatory testing and audits.</v>
      </c>
      <c r="O86" s="2" t="str">
        <f>VLOOKUP(Final!D86,'Satisfied By'!A:E,5,FALSE)</f>
        <v>Achieved through the system’s design and certification against ICAO standards.</v>
      </c>
      <c r="P86" s="2"/>
      <c r="Q86" s="2"/>
      <c r="R86" s="2"/>
      <c r="S86" s="2"/>
    </row>
    <row r="87" spans="1:19" ht="60" hidden="1" x14ac:dyDescent="0.25">
      <c r="A87" s="4">
        <v>149</v>
      </c>
      <c r="B87" s="2" t="s">
        <v>7</v>
      </c>
      <c r="C87" s="8"/>
      <c r="D87" s="4" t="s">
        <v>285</v>
      </c>
      <c r="E87" s="2" t="s">
        <v>432</v>
      </c>
      <c r="F87" s="2" t="s">
        <v>61</v>
      </c>
      <c r="G87" s="8"/>
      <c r="H87" s="2" t="s">
        <v>51</v>
      </c>
      <c r="I87" s="2" t="s">
        <v>27</v>
      </c>
      <c r="J87" s="2" t="s">
        <v>22</v>
      </c>
      <c r="K87" s="8"/>
      <c r="L87" s="2" t="e">
        <f>VLOOKUP(D87,VLOOKUP!A:D,2,FALSE)</f>
        <v>#N/A</v>
      </c>
      <c r="M87" s="2" t="e">
        <f>VLOOKUP(D87,VLOOKUP!A:D,3,FALSE)</f>
        <v>#N/A</v>
      </c>
      <c r="N87" s="2" t="str">
        <f>VLOOKUP(Final!D87,'Satisfied By'!A:E,4,FALSE)</f>
        <v>N/A – Compliance is verified through software certification processes rather than specific L3 activities.</v>
      </c>
      <c r="O87" s="2" t="str">
        <f>VLOOKUP(Final!D87,'Satisfied By'!A:E,5,FALSE)</f>
        <v>Verified through formal software certification procedures as per DO-178C.</v>
      </c>
      <c r="P87" s="2"/>
      <c r="Q87" s="2"/>
      <c r="R87" s="2"/>
      <c r="S87" s="2"/>
    </row>
    <row r="88" spans="1:19" ht="60" x14ac:dyDescent="0.25">
      <c r="A88" s="4">
        <v>63</v>
      </c>
      <c r="B88" s="2" t="s">
        <v>10</v>
      </c>
      <c r="C88" s="8"/>
      <c r="D88" s="4" t="s">
        <v>286</v>
      </c>
      <c r="E88" s="2" t="s">
        <v>433</v>
      </c>
      <c r="F88" s="5" t="s">
        <v>176</v>
      </c>
      <c r="G88" s="11"/>
      <c r="H88" s="2" t="s">
        <v>19</v>
      </c>
      <c r="I88" s="2" t="s">
        <v>31</v>
      </c>
      <c r="J88" s="2" t="s">
        <v>20</v>
      </c>
      <c r="K88" s="8"/>
      <c r="L88" s="2" t="e">
        <f>VLOOKUP(D88,VLOOKUP!A:D,2,FALSE)</f>
        <v>#N/A</v>
      </c>
      <c r="M88" s="2" t="e">
        <f>VLOOKUP(D88,VLOOKUP!A:D,3,FALSE)</f>
        <v>#N/A</v>
      </c>
      <c r="N88" s="2" t="str">
        <f>VLOOKUP(Final!D88,'Satisfied By'!A:E,4,FALSE)</f>
        <v>F5.5: Activate Comms Countermeasures</v>
      </c>
      <c r="O88" s="2" t="str">
        <f>VLOOKUP(Final!D88,'Satisfied By'!A:E,5,FALSE)</f>
        <v>This activity involves detecting jamming attempts and activating countermeasures to secure communications, ensuring the system meets the detection time requirements.</v>
      </c>
      <c r="P88" s="2"/>
      <c r="Q88" s="2"/>
      <c r="R88" s="2"/>
      <c r="S88" s="2"/>
    </row>
    <row r="89" spans="1:19" ht="45" x14ac:dyDescent="0.25">
      <c r="A89" s="4">
        <v>66</v>
      </c>
      <c r="B89" s="2" t="s">
        <v>10</v>
      </c>
      <c r="C89" s="8"/>
      <c r="D89" s="4" t="s">
        <v>287</v>
      </c>
      <c r="E89" s="2" t="s">
        <v>434</v>
      </c>
      <c r="F89" s="2" t="s">
        <v>74</v>
      </c>
      <c r="G89" s="8"/>
      <c r="H89" s="2" t="s">
        <v>19</v>
      </c>
      <c r="I89" s="2" t="s">
        <v>27</v>
      </c>
      <c r="J89" s="2" t="s">
        <v>21</v>
      </c>
      <c r="K89" s="8"/>
      <c r="L89" s="2" t="e">
        <f>VLOOKUP(D89,VLOOKUP!A:D,2,FALSE)</f>
        <v>#N/A</v>
      </c>
      <c r="M89" s="2" t="e">
        <f>VLOOKUP(D89,VLOOKUP!A:D,3,FALSE)</f>
        <v>#N/A</v>
      </c>
      <c r="N89" s="2" t="str">
        <f>VLOOKUP(Final!D89,'Satisfied By'!A:E,4,FALSE)</f>
        <v>F5.5: Activate Comms Countermeasures</v>
      </c>
      <c r="O89" s="2" t="str">
        <f>VLOOKUP(Final!D89,'Satisfied By'!A:E,5,FALSE)</f>
        <v>This behavior activates countermeasures to protect the system during airborne threats, addressing the threat response requirements.</v>
      </c>
      <c r="P89" s="2"/>
      <c r="Q89" s="2"/>
      <c r="R89" s="2"/>
      <c r="S89" s="2"/>
    </row>
    <row r="90" spans="1:19" ht="45" x14ac:dyDescent="0.25">
      <c r="A90" s="4">
        <v>69</v>
      </c>
      <c r="B90" s="2" t="s">
        <v>10</v>
      </c>
      <c r="C90" s="8"/>
      <c r="D90" s="4" t="s">
        <v>288</v>
      </c>
      <c r="E90" s="2" t="s">
        <v>435</v>
      </c>
      <c r="F90" s="2" t="s">
        <v>75</v>
      </c>
      <c r="G90" s="8"/>
      <c r="H90" s="2" t="s">
        <v>19</v>
      </c>
      <c r="I90" s="2" t="s">
        <v>27</v>
      </c>
      <c r="J90" s="2" t="s">
        <v>20</v>
      </c>
      <c r="K90" s="8"/>
      <c r="L90" s="2" t="e">
        <f>VLOOKUP(D90,VLOOKUP!A:D,2,FALSE)</f>
        <v>#N/A</v>
      </c>
      <c r="M90" s="2" t="e">
        <f>VLOOKUP(D90,VLOOKUP!A:D,3,FALSE)</f>
        <v>#N/A</v>
      </c>
      <c r="N90" s="2" t="str">
        <f>VLOOKUP(Final!D90,'Satisfied By'!A:E,4,FALSE)</f>
        <v>F7.9: Send Threat Mitigation</v>
      </c>
      <c r="O90" s="2" t="str">
        <f>VLOOKUP(Final!D90,'Satisfied By'!A:E,5,FALSE)</f>
        <v>This behavior ensures that, in the event of a cybersecurity breach, impacted systems are isolated and the issue is communicated for further mitigation.</v>
      </c>
      <c r="P90" s="2"/>
      <c r="Q90" s="2"/>
      <c r="R90" s="2"/>
      <c r="S90" s="2"/>
    </row>
    <row r="91" spans="1:19" ht="45" x14ac:dyDescent="0.25">
      <c r="A91" s="4">
        <v>72</v>
      </c>
      <c r="B91" s="2" t="s">
        <v>10</v>
      </c>
      <c r="C91" s="8"/>
      <c r="D91" s="4" t="s">
        <v>289</v>
      </c>
      <c r="E91" s="2" t="s">
        <v>436</v>
      </c>
      <c r="F91" s="2" t="s">
        <v>76</v>
      </c>
      <c r="G91" s="8"/>
      <c r="H91" s="2" t="s">
        <v>19</v>
      </c>
      <c r="I91" s="2" t="s">
        <v>27</v>
      </c>
      <c r="J91" s="2" t="s">
        <v>21</v>
      </c>
      <c r="K91" s="8"/>
      <c r="L91" s="2" t="e">
        <f>VLOOKUP(D91,VLOOKUP!A:D,2,FALSE)</f>
        <v>#N/A</v>
      </c>
      <c r="M91" s="2" t="e">
        <f>VLOOKUP(D91,VLOOKUP!A:D,3,FALSE)</f>
        <v>#N/A</v>
      </c>
      <c r="N91" s="2" t="str">
        <f>VLOOKUP(Final!D91,'Satisfied By'!A:E,4,FALSE)</f>
        <v>F6.3: Analyze GPS</v>
      </c>
      <c r="O91" s="2" t="str">
        <f>VLOOKUP(Final!D91,'Satisfied By'!A:E,5,FALSE)</f>
        <v>This activity identifies and mitigates spoofed GPS signals, ensuring operational integrity within the required timeframes.</v>
      </c>
      <c r="P91" s="2"/>
      <c r="Q91" s="2"/>
      <c r="R91" s="2"/>
      <c r="S91" s="2"/>
    </row>
    <row r="92" spans="1:19" ht="45" x14ac:dyDescent="0.25">
      <c r="A92" s="4">
        <v>78</v>
      </c>
      <c r="B92" s="2" t="s">
        <v>10</v>
      </c>
      <c r="C92" s="8"/>
      <c r="D92" s="4" t="s">
        <v>290</v>
      </c>
      <c r="E92" s="2" t="s">
        <v>437</v>
      </c>
      <c r="F92" s="2" t="s">
        <v>77</v>
      </c>
      <c r="G92" s="8"/>
      <c r="H92" s="2" t="s">
        <v>19</v>
      </c>
      <c r="I92" s="2" t="s">
        <v>27</v>
      </c>
      <c r="J92" s="2" t="s">
        <v>21</v>
      </c>
      <c r="K92" s="8"/>
      <c r="L92" s="2" t="e">
        <f>VLOOKUP(D92,VLOOKUP!A:D,2,FALSE)</f>
        <v>#N/A</v>
      </c>
      <c r="M92" s="2" t="e">
        <f>VLOOKUP(D92,VLOOKUP!A:D,3,FALSE)</f>
        <v>#N/A</v>
      </c>
      <c r="N92" s="2" t="str">
        <f>VLOOKUP(Final!D92,'Satisfied By'!A:E,4,FALSE)</f>
        <v>F7.8: Erase Data if Tampered</v>
      </c>
      <c r="O92" s="2" t="str">
        <f>VLOOKUP(Final!D92,'Satisfied By'!A:E,5,FALSE)</f>
        <v>This behavior helps to contain potential cyber threats by disabling non-critical systems and ensuring that tampered data is erased.</v>
      </c>
      <c r="P92" s="2"/>
      <c r="Q92" s="2"/>
      <c r="R92" s="2"/>
      <c r="S92" s="2"/>
    </row>
    <row r="93" spans="1:19" ht="45" x14ac:dyDescent="0.25">
      <c r="A93" s="4">
        <v>81</v>
      </c>
      <c r="B93" s="2" t="s">
        <v>10</v>
      </c>
      <c r="C93" s="8"/>
      <c r="D93" s="4" t="s">
        <v>291</v>
      </c>
      <c r="E93" s="2" t="s">
        <v>438</v>
      </c>
      <c r="F93" s="2" t="s">
        <v>78</v>
      </c>
      <c r="G93" s="8"/>
      <c r="H93" s="2" t="s">
        <v>19</v>
      </c>
      <c r="I93" s="2" t="s">
        <v>31</v>
      </c>
      <c r="J93" s="2" t="s">
        <v>21</v>
      </c>
      <c r="K93" s="8"/>
      <c r="L93" s="2" t="e">
        <f>VLOOKUP(D93,VLOOKUP!A:D,2,FALSE)</f>
        <v>#N/A</v>
      </c>
      <c r="M93" s="2" t="e">
        <f>VLOOKUP(D93,VLOOKUP!A:D,3,FALSE)</f>
        <v>#N/A</v>
      </c>
      <c r="N93" s="2" t="str">
        <f>VLOOKUP(Final!D93,'Satisfied By'!A:E,4,FALSE)</f>
        <v>F5.5: Activate Comms Countermeasures</v>
      </c>
      <c r="O93" s="2" t="str">
        <f>VLOOKUP(Final!D93,'Satisfied By'!A:E,5,FALSE)</f>
        <v>This activity ensures that jamming signals are identified and mitigated within the required timeframes, ensuring communication resilience.</v>
      </c>
      <c r="P93" s="2"/>
      <c r="Q93" s="2"/>
      <c r="R93" s="2"/>
      <c r="S93" s="2"/>
    </row>
    <row r="94" spans="1:19" ht="45" x14ac:dyDescent="0.25">
      <c r="A94" s="4">
        <v>84</v>
      </c>
      <c r="B94" s="2" t="s">
        <v>10</v>
      </c>
      <c r="C94" s="8"/>
      <c r="D94" s="4" t="s">
        <v>292</v>
      </c>
      <c r="E94" s="2" t="s">
        <v>439</v>
      </c>
      <c r="F94" s="2" t="s">
        <v>79</v>
      </c>
      <c r="G94" s="8"/>
      <c r="H94" s="2" t="s">
        <v>19</v>
      </c>
      <c r="I94" s="2" t="s">
        <v>31</v>
      </c>
      <c r="J94" s="2" t="s">
        <v>22</v>
      </c>
      <c r="K94" s="8"/>
      <c r="L94" s="2" t="e">
        <f>VLOOKUP(D94,VLOOKUP!A:D,2,FALSE)</f>
        <v>#N/A</v>
      </c>
      <c r="M94" s="2" t="e">
        <f>VLOOKUP(D94,VLOOKUP!A:D,3,FALSE)</f>
        <v>#N/A</v>
      </c>
      <c r="N94" s="2" t="str">
        <f>VLOOKUP(Final!D94,'Satisfied By'!A:E,4,FALSE)</f>
        <v>F5: Manage Communications (L2)</v>
      </c>
      <c r="O94" s="2" t="str">
        <f>VLOOKUP(Final!D94,'Satisfied By'!A:E,5,FALSE)</f>
        <v>This behavior ensures continuous communication availability during threat conditions, contributing to high threat uptime.</v>
      </c>
      <c r="P94" s="2"/>
      <c r="Q94" s="2"/>
      <c r="R94" s="2"/>
      <c r="S94" s="2"/>
    </row>
    <row r="95" spans="1:19" ht="30" x14ac:dyDescent="0.25">
      <c r="A95" s="4">
        <v>87</v>
      </c>
      <c r="B95" s="2" t="s">
        <v>10</v>
      </c>
      <c r="C95" s="8"/>
      <c r="D95" s="4" t="s">
        <v>293</v>
      </c>
      <c r="E95" s="2" t="s">
        <v>440</v>
      </c>
      <c r="F95" s="2" t="s">
        <v>44</v>
      </c>
      <c r="G95" s="8"/>
      <c r="H95" s="2" t="s">
        <v>19</v>
      </c>
      <c r="I95" s="2" t="s">
        <v>27</v>
      </c>
      <c r="J95" s="2" t="s">
        <v>24</v>
      </c>
      <c r="K95" s="8"/>
      <c r="L95" s="2" t="e">
        <f>VLOOKUP(D95,VLOOKUP!A:D,2,FALSE)</f>
        <v>#N/A</v>
      </c>
      <c r="M95" s="2" t="e">
        <f>VLOOKUP(D95,VLOOKUP!A:D,3,FALSE)</f>
        <v>#N/A</v>
      </c>
      <c r="N95" s="2" t="str">
        <f>VLOOKUP(Final!D95,'Satisfied By'!A:E,4,FALSE)</f>
        <v>F7.9: Send Threat Mitigation</v>
      </c>
      <c r="O95" s="2" t="str">
        <f>VLOOKUP(Final!D95,'Satisfied By'!A:E,5,FALSE)</f>
        <v>This activity includes logging all threat events and responses to provide a record for future analysis.</v>
      </c>
      <c r="P95" s="2"/>
      <c r="Q95" s="2"/>
      <c r="R95" s="2"/>
      <c r="S95" s="2"/>
    </row>
    <row r="96" spans="1:19" ht="60" x14ac:dyDescent="0.25">
      <c r="A96" s="4">
        <v>90</v>
      </c>
      <c r="B96" s="2" t="s">
        <v>10</v>
      </c>
      <c r="C96" s="8"/>
      <c r="D96" s="4" t="s">
        <v>294</v>
      </c>
      <c r="E96" s="2" t="s">
        <v>441</v>
      </c>
      <c r="F96" s="2" t="s">
        <v>80</v>
      </c>
      <c r="G96" s="8"/>
      <c r="H96" s="2" t="s">
        <v>19</v>
      </c>
      <c r="I96" s="2" t="s">
        <v>31</v>
      </c>
      <c r="J96" s="2" t="s">
        <v>22</v>
      </c>
      <c r="K96" s="8"/>
      <c r="L96" s="2" t="e">
        <f>VLOOKUP(D96,VLOOKUP!A:D,2,FALSE)</f>
        <v>#N/A</v>
      </c>
      <c r="M96" s="2" t="e">
        <f>VLOOKUP(D96,VLOOKUP!A:D,3,FALSE)</f>
        <v>#N/A</v>
      </c>
      <c r="N96" s="2" t="str">
        <f>VLOOKUP(Final!D96,'Satisfied By'!A:E,4,FALSE)</f>
        <v>F5.4: Send Data</v>
      </c>
      <c r="O96" s="2" t="str">
        <f>VLOOKUP(Final!D96,'Satisfied By'!A:E,5,FALSE)</f>
        <v>This behavior supports the rapid transmission of countermeasure updates in response to new threats.</v>
      </c>
      <c r="P96" s="2"/>
      <c r="Q96" s="2"/>
      <c r="R96" s="2"/>
      <c r="S96" s="2"/>
    </row>
    <row r="97" spans="1:19" ht="45" x14ac:dyDescent="0.25">
      <c r="A97" s="2" t="s">
        <v>183</v>
      </c>
      <c r="B97" s="2" t="s">
        <v>10</v>
      </c>
      <c r="C97" s="8"/>
      <c r="D97" s="4" t="s">
        <v>295</v>
      </c>
      <c r="E97" s="2" t="s">
        <v>442</v>
      </c>
      <c r="F97" s="2" t="s">
        <v>177</v>
      </c>
      <c r="G97" s="8"/>
      <c r="H97" s="2" t="s">
        <v>19</v>
      </c>
      <c r="I97" s="2" t="s">
        <v>29</v>
      </c>
      <c r="J97" s="2" t="s">
        <v>22</v>
      </c>
      <c r="K97" s="8"/>
      <c r="L97" s="2" t="e">
        <f>VLOOKUP(D97,VLOOKUP!A:D,2,FALSE)</f>
        <v>#N/A</v>
      </c>
      <c r="M97" s="2" t="e">
        <f>VLOOKUP(D97,VLOOKUP!A:D,3,FALSE)</f>
        <v>#N/A</v>
      </c>
      <c r="N97" s="2" t="str">
        <f>VLOOKUP(Final!D97,'Satisfied By'!A:E,4,FALSE)</f>
        <v>F6.5: Send Status</v>
      </c>
      <c r="O97" s="2" t="str">
        <f>VLOOKUP(Final!D97,'Satisfied By'!A:E,5,FALSE)</f>
        <v>This activity ensures that threat alerts are prioritized and communicated in real-time during operational disruptions.</v>
      </c>
      <c r="P97" s="2"/>
      <c r="Q97" s="2"/>
      <c r="R97" s="2"/>
      <c r="S97" s="2"/>
    </row>
    <row r="98" spans="1:19" ht="30" hidden="1" x14ac:dyDescent="0.25">
      <c r="A98" s="4">
        <v>126</v>
      </c>
      <c r="B98" s="2" t="s">
        <v>13</v>
      </c>
      <c r="C98" s="8"/>
      <c r="D98" s="4" t="s">
        <v>296</v>
      </c>
      <c r="E98" s="2" t="s">
        <v>443</v>
      </c>
      <c r="F98" s="2" t="s">
        <v>82</v>
      </c>
      <c r="G98" s="8"/>
      <c r="H98" s="2" t="s">
        <v>51</v>
      </c>
      <c r="I98" s="2" t="s">
        <v>27</v>
      </c>
      <c r="J98" s="2" t="s">
        <v>21</v>
      </c>
      <c r="K98" s="8"/>
      <c r="L98" s="2" t="e">
        <f>VLOOKUP(D98,VLOOKUP!A:D,2,FALSE)</f>
        <v>#N/A</v>
      </c>
      <c r="M98" s="2" t="e">
        <f>VLOOKUP(D98,VLOOKUP!A:D,3,FALSE)</f>
        <v>#N/A</v>
      </c>
      <c r="N98" s="2" t="str">
        <f>VLOOKUP(Final!D98,'Satisfied By'!A:E,4,FALSE)</f>
        <v>N/A – This is verified through annual testing and certification processes.</v>
      </c>
      <c r="O98" s="2" t="str">
        <f>VLOOKUP(Final!D98,'Satisfied By'!A:E,5,FALSE)</f>
        <v>Autonomous systems are regularly tested against defined protocols to ensure compliance.</v>
      </c>
      <c r="P98" s="2"/>
      <c r="Q98" s="2"/>
      <c r="R98" s="2"/>
      <c r="S98" s="2"/>
    </row>
    <row r="99" spans="1:19" ht="45" hidden="1" x14ac:dyDescent="0.25">
      <c r="A99" s="4">
        <v>129</v>
      </c>
      <c r="B99" s="2" t="s">
        <v>13</v>
      </c>
      <c r="C99" s="8"/>
      <c r="D99" s="4" t="s">
        <v>297</v>
      </c>
      <c r="E99" s="2" t="s">
        <v>444</v>
      </c>
      <c r="F99" s="2" t="s">
        <v>81</v>
      </c>
      <c r="G99" s="8"/>
      <c r="H99" s="2" t="s">
        <v>51</v>
      </c>
      <c r="I99" s="2" t="s">
        <v>31</v>
      </c>
      <c r="J99" s="2" t="s">
        <v>21</v>
      </c>
      <c r="K99" s="8"/>
      <c r="L99" s="2" t="e">
        <f>VLOOKUP(D99,VLOOKUP!A:D,2,FALSE)</f>
        <v>#N/A</v>
      </c>
      <c r="M99" s="2" t="e">
        <f>VLOOKUP(D99,VLOOKUP!A:D,3,FALSE)</f>
        <v>#N/A</v>
      </c>
      <c r="N99" s="2" t="str">
        <f>VLOOKUP(Final!D99,'Satisfied By'!A:E,4,FALSE)</f>
        <v>N/A – Sensor accuracy is validated through calibration processes.</v>
      </c>
      <c r="O99" s="2" t="str">
        <f>VLOOKUP(Final!D99,'Satisfied By'!A:E,5,FALSE)</f>
        <v>Sensor accuracy is checked and validated as part of system integration testing.</v>
      </c>
      <c r="P99" s="2"/>
      <c r="Q99" s="2"/>
      <c r="R99" s="2"/>
      <c r="S99" s="2"/>
    </row>
    <row r="100" spans="1:19" ht="45" hidden="1" x14ac:dyDescent="0.25">
      <c r="A100" s="4">
        <v>134</v>
      </c>
      <c r="B100" s="2" t="s">
        <v>13</v>
      </c>
      <c r="C100" s="8"/>
      <c r="D100" s="4" t="s">
        <v>298</v>
      </c>
      <c r="E100" s="2" t="s">
        <v>445</v>
      </c>
      <c r="F100" s="2" t="s">
        <v>83</v>
      </c>
      <c r="G100" s="8"/>
      <c r="H100" s="2" t="s">
        <v>51</v>
      </c>
      <c r="I100" s="2" t="s">
        <v>27</v>
      </c>
      <c r="J100" s="2" t="s">
        <v>21</v>
      </c>
      <c r="K100" s="8"/>
      <c r="L100" s="2" t="e">
        <f>VLOOKUP(D100,VLOOKUP!A:D,2,FALSE)</f>
        <v>#N/A</v>
      </c>
      <c r="M100" s="2" t="e">
        <f>VLOOKUP(D100,VLOOKUP!A:D,3,FALSE)</f>
        <v>#N/A</v>
      </c>
      <c r="N100" s="2" t="str">
        <f>VLOOKUP(Final!D100,'Satisfied By'!A:E,4,FALSE)</f>
        <v>N/A – Software updates are tested in a sandbox environment during development.</v>
      </c>
      <c r="O100" s="2" t="str">
        <f>VLOOKUP(Final!D100,'Satisfied By'!A:E,5,FALSE)</f>
        <v>This is verified as part of software development lifecycle testing.</v>
      </c>
      <c r="P100" s="2"/>
      <c r="Q100" s="2"/>
      <c r="R100" s="2"/>
      <c r="S100" s="2"/>
    </row>
    <row r="101" spans="1:19" ht="75" hidden="1" x14ac:dyDescent="0.25">
      <c r="A101" s="4">
        <v>138</v>
      </c>
      <c r="B101" s="2" t="s">
        <v>13</v>
      </c>
      <c r="C101" s="8"/>
      <c r="D101" s="4" t="s">
        <v>299</v>
      </c>
      <c r="E101" s="2" t="s">
        <v>446</v>
      </c>
      <c r="F101" s="2" t="s">
        <v>85</v>
      </c>
      <c r="G101" s="8"/>
      <c r="H101" s="2" t="s">
        <v>51</v>
      </c>
      <c r="I101" s="2" t="s">
        <v>31</v>
      </c>
      <c r="J101" s="2" t="s">
        <v>22</v>
      </c>
      <c r="K101" s="8"/>
      <c r="L101" s="2" t="e">
        <f>VLOOKUP(D101,VLOOKUP!A:D,2,FALSE)</f>
        <v>#N/A</v>
      </c>
      <c r="M101" s="2" t="e">
        <f>VLOOKUP(D101,VLOOKUP!A:D,3,FALSE)</f>
        <v>#N/A</v>
      </c>
      <c r="N101" s="2" t="str">
        <f>VLOOKUP(Final!D101,'Satisfied By'!A:E,4,FALSE)</f>
        <v>N/A – Algorithm coverage is verified through comprehensive testing of software modules.</v>
      </c>
      <c r="O101" s="2" t="str">
        <f>VLOOKUP(Final!D101,'Satisfied By'!A:E,5,FALSE)</f>
        <v>Verified through testing protocols for autonomous software, ensuring compliance with DO-178C.</v>
      </c>
      <c r="P101" s="2"/>
      <c r="Q101" s="2"/>
      <c r="R101" s="2"/>
      <c r="S101" s="2"/>
    </row>
    <row r="102" spans="1:19" ht="60" hidden="1" x14ac:dyDescent="0.25">
      <c r="A102" s="4">
        <v>142</v>
      </c>
      <c r="B102" s="2" t="s">
        <v>13</v>
      </c>
      <c r="C102" s="8"/>
      <c r="D102" s="4" t="s">
        <v>300</v>
      </c>
      <c r="E102" s="2" t="s">
        <v>447</v>
      </c>
      <c r="F102" s="2" t="s">
        <v>84</v>
      </c>
      <c r="G102" s="8"/>
      <c r="H102" s="2" t="s">
        <v>51</v>
      </c>
      <c r="I102" s="2" t="s">
        <v>31</v>
      </c>
      <c r="J102" s="2" t="s">
        <v>20</v>
      </c>
      <c r="K102" s="8"/>
      <c r="L102" s="2" t="e">
        <f>VLOOKUP(D102,VLOOKUP!A:D,2,FALSE)</f>
        <v>#N/A</v>
      </c>
      <c r="M102" s="2" t="e">
        <f>VLOOKUP(D102,VLOOKUP!A:D,3,FALSE)</f>
        <v>#N/A</v>
      </c>
      <c r="N102" s="2" t="str">
        <f>VLOOKUP(Final!D102,'Satisfied By'!A:E,4,FALSE)</f>
        <v>N/A – Sensor calibration is part of the system maintenance process and not represented by an individual L3 activity.</v>
      </c>
      <c r="O102" s="2" t="str">
        <f>VLOOKUP(Final!D102,'Satisfied By'!A:E,5,FALSE)</f>
        <v>This is verified through periodic system-level checks and calibration processes.</v>
      </c>
      <c r="P102" s="2"/>
      <c r="Q102" s="2"/>
      <c r="R102" s="2"/>
      <c r="S102" s="2"/>
    </row>
    <row r="103" spans="1:19" ht="45" hidden="1" x14ac:dyDescent="0.25">
      <c r="A103" s="4">
        <v>146</v>
      </c>
      <c r="B103" s="2" t="s">
        <v>13</v>
      </c>
      <c r="C103" s="8"/>
      <c r="D103" s="4" t="s">
        <v>301</v>
      </c>
      <c r="E103" s="2" t="s">
        <v>448</v>
      </c>
      <c r="F103" s="2" t="s">
        <v>86</v>
      </c>
      <c r="G103" s="8"/>
      <c r="H103" s="2" t="s">
        <v>51</v>
      </c>
      <c r="I103" s="2" t="s">
        <v>27</v>
      </c>
      <c r="J103" s="2" t="s">
        <v>24</v>
      </c>
      <c r="K103" s="8"/>
      <c r="L103" s="2" t="e">
        <f>VLOOKUP(D103,VLOOKUP!A:D,2,FALSE)</f>
        <v>#N/A</v>
      </c>
      <c r="M103" s="2" t="e">
        <f>VLOOKUP(D103,VLOOKUP!A:D,3,FALSE)</f>
        <v>#N/A</v>
      </c>
      <c r="N103" s="2" t="str">
        <f>VLOOKUP(Final!D103,'Satisfied By'!A:E,4,FALSE)</f>
        <v>N/A – Software integrity is verified through pre-deployment verification processes.</v>
      </c>
      <c r="O103" s="2" t="str">
        <f>VLOOKUP(Final!D103,'Satisfied By'!A:E,5,FALSE)</f>
        <v>This is verified through checksum comparison as part of software deployment procedures.</v>
      </c>
      <c r="P103" s="2"/>
      <c r="Q103" s="2"/>
      <c r="R103" s="2"/>
      <c r="S103" s="2"/>
    </row>
    <row r="104" spans="1:19" ht="60" hidden="1" x14ac:dyDescent="0.25">
      <c r="A104" s="4">
        <v>150</v>
      </c>
      <c r="B104" s="2" t="s">
        <v>13</v>
      </c>
      <c r="C104" s="8"/>
      <c r="D104" s="4" t="s">
        <v>302</v>
      </c>
      <c r="E104" s="2" t="s">
        <v>449</v>
      </c>
      <c r="F104" s="2" t="s">
        <v>87</v>
      </c>
      <c r="G104" s="8"/>
      <c r="H104" s="2" t="s">
        <v>51</v>
      </c>
      <c r="I104" s="2" t="s">
        <v>31</v>
      </c>
      <c r="J104" s="2" t="s">
        <v>21</v>
      </c>
      <c r="K104" s="8"/>
      <c r="L104" s="2" t="e">
        <f>VLOOKUP(D104,VLOOKUP!A:D,2,FALSE)</f>
        <v>#N/A</v>
      </c>
      <c r="M104" s="2" t="e">
        <f>VLOOKUP(D104,VLOOKUP!A:D,3,FALSE)</f>
        <v>#N/A</v>
      </c>
      <c r="N104" s="2" t="str">
        <f>VLOOKUP(Final!D104,'Satisfied By'!A:E,4,FALSE)</f>
        <v>N/A – Hardware durability testing is part of the system qualification process and not a discrete L3 function.</v>
      </c>
      <c r="O104" s="2" t="str">
        <f>VLOOKUP(Final!D104,'Satisfied By'!A:E,5,FALSE)</f>
        <v>Confirmed through hardware qualification testing to ensure it meets required operational hours.</v>
      </c>
      <c r="P104" s="2"/>
      <c r="Q104" s="2"/>
      <c r="R104" s="2"/>
      <c r="S104" s="2"/>
    </row>
    <row r="105" spans="1:19" ht="45" x14ac:dyDescent="0.25">
      <c r="A105" s="4">
        <v>34</v>
      </c>
      <c r="B105" s="2" t="s">
        <v>9</v>
      </c>
      <c r="C105" s="8"/>
      <c r="D105" s="4" t="s">
        <v>303</v>
      </c>
      <c r="E105" s="6" t="s">
        <v>450</v>
      </c>
      <c r="F105" s="5" t="s">
        <v>178</v>
      </c>
      <c r="G105" s="11"/>
      <c r="H105" s="2" t="s">
        <v>18</v>
      </c>
      <c r="I105" s="2" t="s">
        <v>29</v>
      </c>
      <c r="J105" s="2" t="s">
        <v>20</v>
      </c>
      <c r="K105" s="8"/>
      <c r="L105" s="2" t="str">
        <f>VLOOKUP(D105,VLOOKUP!A:D,2,FALSE)</f>
        <v>F8: Manage HMI_THIS</v>
      </c>
      <c r="M105" s="2" t="str">
        <f>VLOOKUP(D105,VLOOKUP!A:D,3,FALSE)</f>
        <v>F8 displays real-time mission schedules and threat alerts.</v>
      </c>
      <c r="N105" s="2" t="str">
        <f>VLOOKUP(Final!D105,'Satisfied By'!A:E,4,FALSE)</f>
        <v>F8.1: Display Mission Data</v>
      </c>
      <c r="O105" s="2" t="str">
        <f>VLOOKUP(Final!D105,'Satisfied By'!A:E,5,FALSE)</f>
        <v>This behavior ensures that the HMI displays mission schedules and updates to operators, meeting the real-time display requirement.</v>
      </c>
      <c r="P105" s="2"/>
      <c r="Q105" s="2"/>
      <c r="R105" s="2"/>
      <c r="S105" s="2"/>
    </row>
    <row r="106" spans="1:19" ht="30" x14ac:dyDescent="0.25">
      <c r="A106" s="4">
        <v>37</v>
      </c>
      <c r="B106" s="2" t="s">
        <v>9</v>
      </c>
      <c r="C106" s="8"/>
      <c r="D106" s="4" t="s">
        <v>304</v>
      </c>
      <c r="E106" s="2" t="s">
        <v>451</v>
      </c>
      <c r="F106" s="2" t="s">
        <v>88</v>
      </c>
      <c r="G106" s="8"/>
      <c r="H106" s="2" t="s">
        <v>18</v>
      </c>
      <c r="I106" s="2" t="s">
        <v>31</v>
      </c>
      <c r="J106" s="2" t="s">
        <v>20</v>
      </c>
      <c r="K106" s="8"/>
      <c r="L106" s="2" t="str">
        <f>VLOOKUP(D106,VLOOKUP!A:D,2,FALSE)</f>
        <v>F8: Manage HMI_THIS</v>
      </c>
      <c r="M106" s="2" t="str">
        <f>VLOOKUP(D106,VLOOKUP!A:D,3,FALSE)</f>
        <v>F8 allows manual override within required speed.</v>
      </c>
      <c r="N106" s="2" t="str">
        <f>VLOOKUP(Final!D106,'Satisfied By'!A:E,4,FALSE)</f>
        <v>F8.3: Process Manual Override</v>
      </c>
      <c r="O106" s="2" t="str">
        <f>VLOOKUP(Final!D106,'Satisfied By'!A:E,5,FALSE)</f>
        <v>This activity ensures that manual override commands are processed within the required timeframes.</v>
      </c>
      <c r="P106" s="2"/>
      <c r="Q106" s="2"/>
      <c r="R106" s="2"/>
      <c r="S106" s="2"/>
    </row>
    <row r="107" spans="1:19" ht="45" x14ac:dyDescent="0.25">
      <c r="A107" s="4">
        <v>40</v>
      </c>
      <c r="B107" s="2" t="s">
        <v>9</v>
      </c>
      <c r="C107" s="8"/>
      <c r="D107" s="4" t="s">
        <v>305</v>
      </c>
      <c r="E107" s="2" t="s">
        <v>452</v>
      </c>
      <c r="F107" s="2" t="s">
        <v>37</v>
      </c>
      <c r="G107" s="8"/>
      <c r="H107" s="2" t="s">
        <v>18</v>
      </c>
      <c r="I107" s="2" t="s">
        <v>27</v>
      </c>
      <c r="J107" s="2" t="s">
        <v>21</v>
      </c>
      <c r="K107" s="8"/>
      <c r="L107" s="2" t="str">
        <f>VLOOKUP(D107,VLOOKUP!A:D,2,FALSE)</f>
        <v>F8: Manage HMI_THIS</v>
      </c>
      <c r="M107" s="2" t="str">
        <f>VLOOKUP(D107,VLOOKUP!A:D,3,FALSE)</f>
        <v>F8 includes emergency shutdown controls.</v>
      </c>
      <c r="N107" s="2" t="str">
        <f>VLOOKUP(Final!D107,'Satisfied By'!A:E,4,FALSE)</f>
        <v>F8.4: Execute Emergency Controls</v>
      </c>
      <c r="O107" s="2" t="str">
        <f>VLOOKUP(Final!D107,'Satisfied By'!A:E,5,FALSE)</f>
        <v>This behavior includes an emergency shutdown process, ensuring operators can quickly disable systems in case of an emergency.</v>
      </c>
      <c r="P107" s="2"/>
      <c r="Q107" s="2"/>
      <c r="R107" s="2"/>
      <c r="S107" s="2"/>
    </row>
    <row r="108" spans="1:19" ht="30" x14ac:dyDescent="0.25">
      <c r="A108" s="4">
        <v>44</v>
      </c>
      <c r="B108" s="2" t="s">
        <v>9</v>
      </c>
      <c r="C108" s="8"/>
      <c r="D108" s="4" t="s">
        <v>306</v>
      </c>
      <c r="E108" s="2" t="s">
        <v>453</v>
      </c>
      <c r="F108" s="2" t="s">
        <v>38</v>
      </c>
      <c r="G108" s="8"/>
      <c r="H108" s="2" t="s">
        <v>18</v>
      </c>
      <c r="I108" s="2" t="s">
        <v>27</v>
      </c>
      <c r="J108" s="2" t="s">
        <v>21</v>
      </c>
      <c r="K108" s="8"/>
      <c r="L108" s="2" t="str">
        <f>VLOOKUP(D108,VLOOKUP!A:D,2,FALSE)</f>
        <v>F8: Manage HMI_THIS</v>
      </c>
      <c r="M108" s="2" t="str">
        <f>VLOOKUP(D108,VLOOKUP!A:D,3,FALSE)</f>
        <v>F8 provides tactile feedback for critical alerts.</v>
      </c>
      <c r="N108" s="2" t="str">
        <f>VLOOKUP(Final!D108,'Satisfied By'!A:E,4,FALSE)</f>
        <v>F8.5: Provide Alerts &amp; Feedback</v>
      </c>
      <c r="O108" s="2" t="str">
        <f>VLOOKUP(Final!D108,'Satisfied By'!A:E,5,FALSE)</f>
        <v>This activity includes providing haptic feedback to operators, alerting them to critical mission statuses.</v>
      </c>
      <c r="P108" s="2"/>
      <c r="Q108" s="2"/>
      <c r="R108" s="2"/>
      <c r="S108" s="2"/>
    </row>
    <row r="109" spans="1:19" ht="45" x14ac:dyDescent="0.25">
      <c r="A109" s="4">
        <v>48</v>
      </c>
      <c r="B109" s="2" t="s">
        <v>9</v>
      </c>
      <c r="C109" s="8"/>
      <c r="D109" s="4" t="s">
        <v>307</v>
      </c>
      <c r="E109" s="2" t="s">
        <v>454</v>
      </c>
      <c r="F109" s="2" t="s">
        <v>39</v>
      </c>
      <c r="G109" s="8"/>
      <c r="H109" s="2" t="s">
        <v>18</v>
      </c>
      <c r="I109" s="2" t="s">
        <v>29</v>
      </c>
      <c r="J109" s="2" t="s">
        <v>21</v>
      </c>
      <c r="K109" s="8"/>
      <c r="L109" s="2" t="str">
        <f>VLOOKUP(D109,VLOOKUP!A:D,2,FALSE)</f>
        <v>F8: Manage HMI_THIS</v>
      </c>
      <c r="M109" s="2" t="str">
        <f>VLOOKUP(D109,VLOOKUP!A:D,3,FALSE)</f>
        <v>F8 supports voice commands.</v>
      </c>
      <c r="N109" s="2" t="str">
        <f>VLOOKUP(Final!D109,'Satisfied By'!A:E,4,FALSE)</f>
        <v>F8.2: Receive Operator Input</v>
      </c>
      <c r="O109" s="2" t="str">
        <f>VLOOKUP(Final!D109,'Satisfied By'!A:E,5,FALSE)</f>
        <v>This behavior allows operators to input voice commands to control the system, meeting the requirement for voice command support.</v>
      </c>
      <c r="P109" s="2"/>
      <c r="Q109" s="2"/>
      <c r="R109" s="2"/>
      <c r="S109" s="2"/>
    </row>
    <row r="110" spans="1:19" ht="45" x14ac:dyDescent="0.25">
      <c r="A110" s="4">
        <v>52</v>
      </c>
      <c r="B110" s="2" t="s">
        <v>9</v>
      </c>
      <c r="C110" s="8"/>
      <c r="D110" s="4" t="s">
        <v>308</v>
      </c>
      <c r="E110" s="2" t="s">
        <v>455</v>
      </c>
      <c r="F110" s="2" t="s">
        <v>90</v>
      </c>
      <c r="G110" s="8"/>
      <c r="H110" s="2" t="s">
        <v>18</v>
      </c>
      <c r="I110" s="2" t="s">
        <v>31</v>
      </c>
      <c r="J110" s="2" t="s">
        <v>21</v>
      </c>
      <c r="K110" s="8"/>
      <c r="L110" s="2" t="str">
        <f>VLOOKUP(D110,VLOOKUP!A:D,2,FALSE)</f>
        <v>F8: Manage HMI_THIS</v>
      </c>
      <c r="M110" s="2" t="str">
        <f>VLOOKUP(D110,VLOOKUP!A:D,3,FALSE)</f>
        <v>F8 updates graphical data at required refresh rates.</v>
      </c>
      <c r="N110" s="2" t="str">
        <f>VLOOKUP(Final!D110,'Satisfied By'!A:E,4,FALSE)</f>
        <v>F8.6: Update HMI Displays</v>
      </c>
      <c r="O110" s="2" t="str">
        <f>VLOOKUP(Final!D110,'Satisfied By'!A:E,5,FALSE)</f>
        <v>This activity ensures that graphical data displayed on the HMI is updated at the required refresh rates, meeting the refresh rate requirement.</v>
      </c>
      <c r="P110" s="2"/>
      <c r="Q110" s="2"/>
      <c r="R110" s="2"/>
      <c r="S110" s="2"/>
    </row>
    <row r="111" spans="1:19" ht="45" x14ac:dyDescent="0.25">
      <c r="A111" s="4">
        <v>56</v>
      </c>
      <c r="B111" s="2" t="s">
        <v>9</v>
      </c>
      <c r="C111" s="8"/>
      <c r="D111" s="4" t="s">
        <v>309</v>
      </c>
      <c r="E111" s="2" t="s">
        <v>456</v>
      </c>
      <c r="F111" s="2" t="s">
        <v>89</v>
      </c>
      <c r="G111" s="8"/>
      <c r="H111" s="2" t="s">
        <v>18</v>
      </c>
      <c r="I111" s="2" t="s">
        <v>29</v>
      </c>
      <c r="J111" s="2" t="s">
        <v>24</v>
      </c>
      <c r="K111" s="8"/>
      <c r="L111" s="2" t="str">
        <f>VLOOKUP(D111,VLOOKUP!A:D,2,FALSE)</f>
        <v>F8: Manage HMI_THIS</v>
      </c>
      <c r="M111" s="2" t="str">
        <f>VLOOKUP(D111,VLOOKUP!A:D,3,FALSE)</f>
        <v>F8 displays subsystem health using color codes.</v>
      </c>
      <c r="N111" s="2" t="str">
        <f>VLOOKUP(Final!D111,'Satisfied By'!A:E,4,FALSE)</f>
        <v>F8.7: Subsystem Health &amp; Multilingual Interface Support</v>
      </c>
      <c r="O111" s="2" t="str">
        <f>VLOOKUP(Final!D111,'Satisfied By'!A:E,5,FALSE)</f>
        <v>This activity allows for the display of subsystem health in real-time using color codes as defined in the standard.</v>
      </c>
      <c r="P111" s="2"/>
      <c r="Q111" s="2"/>
      <c r="R111" s="2"/>
      <c r="S111" s="2"/>
    </row>
    <row r="112" spans="1:19" ht="30" x14ac:dyDescent="0.25">
      <c r="A112" s="4">
        <v>60</v>
      </c>
      <c r="B112" s="2" t="s">
        <v>9</v>
      </c>
      <c r="C112" s="8"/>
      <c r="D112" s="4" t="s">
        <v>310</v>
      </c>
      <c r="E112" s="2" t="s">
        <v>457</v>
      </c>
      <c r="F112" s="2" t="s">
        <v>91</v>
      </c>
      <c r="G112" s="8"/>
      <c r="H112" s="2" t="s">
        <v>18</v>
      </c>
      <c r="I112" s="2" t="s">
        <v>29</v>
      </c>
      <c r="J112" s="2" t="s">
        <v>20</v>
      </c>
      <c r="K112" s="8"/>
      <c r="L112" s="2" t="str">
        <f>VLOOKUP(D112,VLOOKUP!A:D,2,FALSE)</f>
        <v>F8: Manage HMI_THIS</v>
      </c>
      <c r="M112" s="2" t="str">
        <f>VLOOKUP(D112,VLOOKUP!A:D,3,FALSE)</f>
        <v>F8 supports multilingual interfaces.</v>
      </c>
      <c r="N112" s="2" t="str">
        <f>VLOOKUP(Final!D112,'Satisfied By'!A:E,4,FALSE)</f>
        <v>F8.7: Subsystem Health &amp; Multilingual Interface Support</v>
      </c>
      <c r="O112" s="2" t="str">
        <f>VLOOKUP(Final!D112,'Satisfied By'!A:E,5,FALSE)</f>
        <v>This behavior ensures that the HMI supports multiple languages to assist operators from different regions.</v>
      </c>
      <c r="P112" s="2"/>
      <c r="Q112" s="2"/>
      <c r="R112" s="2"/>
      <c r="S112" s="2"/>
    </row>
    <row r="113" spans="1:19" ht="30" x14ac:dyDescent="0.25">
      <c r="A113" s="4">
        <v>100</v>
      </c>
      <c r="B113" s="2" t="s">
        <v>9</v>
      </c>
      <c r="C113" s="8"/>
      <c r="D113" s="4" t="s">
        <v>311</v>
      </c>
      <c r="E113" s="2" t="s">
        <v>458</v>
      </c>
      <c r="F113" s="2" t="s">
        <v>92</v>
      </c>
      <c r="G113" s="8"/>
      <c r="H113" s="2" t="s">
        <v>45</v>
      </c>
      <c r="I113" s="2" t="s">
        <v>27</v>
      </c>
      <c r="J113" s="2" t="s">
        <v>24</v>
      </c>
      <c r="K113" s="8"/>
      <c r="L113" s="2" t="str">
        <f>VLOOKUP(D113,VLOOKUP!A:D,2,FALSE)</f>
        <v>F8: Manage HMI_THIS</v>
      </c>
      <c r="M113" s="2" t="str">
        <f>VLOOKUP(D113,VLOOKUP!A:D,3,FALSE)</f>
        <v>F8 logs operator actions for auditing.</v>
      </c>
      <c r="N113" s="2" t="str">
        <f>VLOOKUP(Final!D113,'Satisfied By'!A:E,4,FALSE)</f>
        <v>F8.8: Logging &amp; Dashboard Integration</v>
      </c>
      <c r="O113" s="2" t="str">
        <f>VLOOKUP(Final!D113,'Satisfied By'!A:E,5,FALSE)</f>
        <v>This activity logs operator actions and system context to ensure proper auditing and system performance tracking.</v>
      </c>
      <c r="P113" s="2"/>
      <c r="Q113" s="2"/>
      <c r="R113" s="2"/>
      <c r="S113" s="2"/>
    </row>
    <row r="114" spans="1:19" ht="30" x14ac:dyDescent="0.25">
      <c r="A114" s="4">
        <v>102</v>
      </c>
      <c r="B114" s="2" t="s">
        <v>9</v>
      </c>
      <c r="C114" s="8"/>
      <c r="D114" s="4" t="s">
        <v>312</v>
      </c>
      <c r="E114" s="2" t="s">
        <v>459</v>
      </c>
      <c r="F114" s="2" t="s">
        <v>93</v>
      </c>
      <c r="G114" s="8"/>
      <c r="H114" s="2" t="s">
        <v>45</v>
      </c>
      <c r="I114" s="2" t="s">
        <v>27</v>
      </c>
      <c r="J114" s="2" t="s">
        <v>20</v>
      </c>
      <c r="K114" s="8"/>
      <c r="L114" s="2" t="str">
        <f>VLOOKUP(D114,VLOOKUP!A:D,2,FALSE)</f>
        <v>F8: Manage HMI_THIS</v>
      </c>
      <c r="M114" s="2" t="str">
        <f>VLOOKUP(D114,VLOOKUP!A:D,3,FALSE)</f>
        <v>F8 provides haptic feedback for emergencies.</v>
      </c>
      <c r="N114" s="2" t="str">
        <f>VLOOKUP(Final!D114,'Satisfied By'!A:E,4,FALSE)</f>
        <v>F8.5: Provide Alerts &amp; Feedback</v>
      </c>
      <c r="O114" s="2" t="str">
        <f>VLOOKUP(Final!D114,'Satisfied By'!A:E,5,FALSE)</f>
        <v>This behavior ensures that operators receive tactile feedback when critical alerts are triggered.</v>
      </c>
      <c r="P114" s="2"/>
      <c r="Q114" s="2"/>
      <c r="R114" s="2"/>
      <c r="S114" s="2"/>
    </row>
    <row r="115" spans="1:19" ht="45" x14ac:dyDescent="0.25">
      <c r="A115" s="4">
        <v>106</v>
      </c>
      <c r="B115" s="2" t="s">
        <v>9</v>
      </c>
      <c r="C115" s="8"/>
      <c r="D115" s="4" t="s">
        <v>313</v>
      </c>
      <c r="E115" s="2" t="s">
        <v>460</v>
      </c>
      <c r="F115" s="2" t="s">
        <v>94</v>
      </c>
      <c r="G115" s="8"/>
      <c r="H115" s="2" t="s">
        <v>45</v>
      </c>
      <c r="I115" s="2" t="s">
        <v>31</v>
      </c>
      <c r="J115" s="2" t="s">
        <v>21</v>
      </c>
      <c r="K115" s="8"/>
      <c r="L115" s="2" t="str">
        <f>VLOOKUP(D115,VLOOKUP!A:D,2,FALSE)</f>
        <v>F8: Manage HMI_THIS</v>
      </c>
      <c r="M115" s="2" t="str">
        <f>VLOOKUP(D115,VLOOKUP!A:D,3,FALSE)</f>
        <v>F8 updates status displays at required speed.</v>
      </c>
      <c r="N115" s="2" t="str">
        <f>VLOOKUP(Final!D115,'Satisfied By'!A:E,4,FALSE)</f>
        <v>F8.6: Update HMI Displays</v>
      </c>
      <c r="O115" s="2" t="str">
        <f>VLOOKUP(Final!D115,'Satisfied By'!A:E,5,FALSE)</f>
        <v>This activity ensures that status displays on the HMI are updated at the required intervals to provide timely information.</v>
      </c>
      <c r="P115" s="2"/>
      <c r="Q115" s="2"/>
      <c r="R115" s="2"/>
      <c r="S115" s="2"/>
    </row>
    <row r="116" spans="1:19" ht="45" x14ac:dyDescent="0.25">
      <c r="A116" s="4">
        <v>110</v>
      </c>
      <c r="B116" s="2" t="s">
        <v>9</v>
      </c>
      <c r="C116" s="8"/>
      <c r="D116" s="4" t="s">
        <v>314</v>
      </c>
      <c r="E116" s="2" t="s">
        <v>461</v>
      </c>
      <c r="F116" s="2" t="s">
        <v>49</v>
      </c>
      <c r="G116" s="8"/>
      <c r="H116" s="2" t="s">
        <v>45</v>
      </c>
      <c r="I116" s="2" t="s">
        <v>29</v>
      </c>
      <c r="J116" s="2" t="s">
        <v>20</v>
      </c>
      <c r="K116" s="8"/>
      <c r="L116" s="2" t="str">
        <f>VLOOKUP(D116,VLOOKUP!A:D,2,FALSE)</f>
        <v>F8: Manage HMI_THIS</v>
      </c>
      <c r="M116" s="2" t="str">
        <f>VLOOKUP(D116,VLOOKUP!A:D,3,FALSE)</f>
        <v>F8 integrates with ground control dashboards.</v>
      </c>
      <c r="N116" s="2" t="str">
        <f>VLOOKUP(Final!D116,'Satisfied By'!A:E,4,FALSE)</f>
        <v>F8.8: Logging &amp; Dashboard Integration</v>
      </c>
      <c r="O116" s="2" t="str">
        <f>VLOOKUP(Final!D116,'Satisfied By'!A:E,5,FALSE)</f>
        <v>This behavior integrates the HMI with ground control dashboards, ensuring that data is synchronized between systems.</v>
      </c>
      <c r="P116" s="2"/>
      <c r="Q116" s="2"/>
      <c r="R116" s="2"/>
      <c r="S116" s="2"/>
    </row>
    <row r="117" spans="1:19" ht="30" x14ac:dyDescent="0.25">
      <c r="A117" s="4">
        <v>114</v>
      </c>
      <c r="B117" s="2" t="s">
        <v>9</v>
      </c>
      <c r="C117" s="8"/>
      <c r="D117" s="4" t="s">
        <v>315</v>
      </c>
      <c r="E117" s="2" t="s">
        <v>462</v>
      </c>
      <c r="F117" s="2" t="s">
        <v>95</v>
      </c>
      <c r="G117" s="8"/>
      <c r="H117" s="2" t="s">
        <v>45</v>
      </c>
      <c r="I117" s="2" t="s">
        <v>27</v>
      </c>
      <c r="J117" s="2" t="s">
        <v>21</v>
      </c>
      <c r="K117" s="8"/>
      <c r="L117" s="2" t="str">
        <f>VLOOKUP(D117,VLOOKUP!A:D,2,FALSE)</f>
        <v>F8: Manage HMI_THIS</v>
      </c>
      <c r="M117" s="2" t="str">
        <f>VLOOKUP(D117,VLOOKUP!A:D,3,FALSE)</f>
        <v>F8 disables non-essential controls during emergencies.</v>
      </c>
      <c r="N117" s="2" t="str">
        <f>VLOOKUP(Final!D117,'Satisfied By'!A:E,4,FALSE)</f>
        <v>F8.4: Execute Emergency Controls</v>
      </c>
      <c r="O117" s="2" t="str">
        <f>VLOOKUP(Final!D117,'Satisfied By'!A:E,5,FALSE)</f>
        <v>This activity locks down non-essential controls to prevent interference with critical emergency procedures.</v>
      </c>
      <c r="P117" s="2"/>
      <c r="Q117" s="2"/>
      <c r="R117" s="2"/>
      <c r="S117" s="2"/>
    </row>
    <row r="118" spans="1:19" ht="45" x14ac:dyDescent="0.25">
      <c r="A118" s="4">
        <v>118</v>
      </c>
      <c r="B118" s="2" t="s">
        <v>9</v>
      </c>
      <c r="C118" s="8"/>
      <c r="D118" s="4" t="s">
        <v>316</v>
      </c>
      <c r="E118" s="2" t="s">
        <v>463</v>
      </c>
      <c r="F118" s="2" t="s">
        <v>96</v>
      </c>
      <c r="G118" s="8"/>
      <c r="H118" s="2" t="s">
        <v>45</v>
      </c>
      <c r="I118" s="2" t="s">
        <v>29</v>
      </c>
      <c r="J118" s="2" t="s">
        <v>22</v>
      </c>
      <c r="K118" s="8"/>
      <c r="L118" s="2" t="str">
        <f>VLOOKUP(D118,VLOOKUP!A:D,2,FALSE)</f>
        <v>F8: Manage HMI_THIS</v>
      </c>
      <c r="M118" s="2" t="str">
        <f>VLOOKUP(D118,VLOOKUP!A:D,3,FALSE)</f>
        <v>F8 provides step-by-step override instructions.</v>
      </c>
      <c r="N118" s="2" t="str">
        <f>VLOOKUP(Final!D118,'Satisfied By'!A:E,4,FALSE)</f>
        <v>F8.3: Process Manual Override</v>
      </c>
      <c r="O118" s="2" t="str">
        <f>VLOOKUP(Final!D118,'Satisfied By'!A:E,5,FALSE)</f>
        <v>This behavior ensures that operators are provided with clear instructions for performing manual override in case of emergency.</v>
      </c>
      <c r="P118" s="2"/>
      <c r="Q118" s="2"/>
      <c r="R118" s="2"/>
      <c r="S118" s="2"/>
    </row>
    <row r="119" spans="1:19" ht="45" x14ac:dyDescent="0.25">
      <c r="A119" s="2" t="s">
        <v>184</v>
      </c>
      <c r="B119" s="2" t="s">
        <v>9</v>
      </c>
      <c r="C119" s="8"/>
      <c r="D119" s="4" t="s">
        <v>317</v>
      </c>
      <c r="E119" s="2" t="s">
        <v>464</v>
      </c>
      <c r="F119" s="2" t="s">
        <v>179</v>
      </c>
      <c r="G119" s="8"/>
      <c r="H119" s="2" t="s">
        <v>18</v>
      </c>
      <c r="I119" s="2" t="s">
        <v>29</v>
      </c>
      <c r="J119" s="2" t="s">
        <v>20</v>
      </c>
      <c r="K119" s="8"/>
      <c r="L119" s="2" t="str">
        <f>VLOOKUP(D119,VLOOKUP!A:D,2,FALSE)</f>
        <v>F8: Manage HMI_THIS</v>
      </c>
      <c r="M119" s="2" t="str">
        <f>VLOOKUP(D119,VLOOKUP!A:D,3,FALSE)</f>
        <v>F8 allows manual reprioritization of refueling queues.</v>
      </c>
      <c r="N119" s="2" t="str">
        <f>VLOOKUP(Final!D119,'Satisfied By'!A:E,4,FALSE)</f>
        <v>F8.9: Reprioritize Refueling Queue</v>
      </c>
      <c r="O119" s="2" t="str">
        <f>VLOOKUP(Final!D119,'Satisfied By'!A:E,5,FALSE)</f>
        <v>This behavior allows operators to adjust refueling priorities manually to accommodate emergencies or urgent operational needs.</v>
      </c>
      <c r="P119" s="2"/>
      <c r="Q119" s="2"/>
      <c r="R119" s="2"/>
      <c r="S119" s="2"/>
    </row>
    <row r="120" spans="1:19" ht="45" hidden="1" x14ac:dyDescent="0.25">
      <c r="A120" s="4">
        <v>123</v>
      </c>
      <c r="B120" s="2" t="s">
        <v>12</v>
      </c>
      <c r="C120" s="8"/>
      <c r="D120" s="4" t="s">
        <v>318</v>
      </c>
      <c r="E120" s="2" t="s">
        <v>465</v>
      </c>
      <c r="F120" s="2" t="s">
        <v>97</v>
      </c>
      <c r="G120" s="8"/>
      <c r="H120" s="2" t="s">
        <v>51</v>
      </c>
      <c r="I120" s="2" t="s">
        <v>31</v>
      </c>
      <c r="J120" s="2" t="s">
        <v>20</v>
      </c>
      <c r="K120" s="8"/>
      <c r="L120" s="2" t="e">
        <f>VLOOKUP(D120,VLOOKUP!A:D,2,FALSE)</f>
        <v>#N/A</v>
      </c>
      <c r="M120" s="2" t="e">
        <f>VLOOKUP(D120,VLOOKUP!A:D,3,FALSE)</f>
        <v>#N/A</v>
      </c>
      <c r="N120" s="2" t="str">
        <f>VLOOKUP(Final!D120,'Satisfied By'!A:E,4,FALSE)</f>
        <v>N/A – Managed at the system maintenance level.</v>
      </c>
      <c r="O120" s="2" t="str">
        <f>VLOOKUP(Final!D120,'Satisfied By'!A:E,5,FALSE)</f>
        <v>This requirement pertains to maintenance and logistics rather than a specific functional behavior. It is verified via sustainment processes.</v>
      </c>
      <c r="P120" s="2"/>
      <c r="Q120" s="2"/>
      <c r="R120" s="2"/>
      <c r="S120" s="2"/>
    </row>
    <row r="121" spans="1:19" ht="30" hidden="1" x14ac:dyDescent="0.25">
      <c r="A121" s="4">
        <v>127</v>
      </c>
      <c r="B121" s="2" t="s">
        <v>12</v>
      </c>
      <c r="C121" s="8"/>
      <c r="D121" s="4" t="s">
        <v>319</v>
      </c>
      <c r="E121" s="2" t="s">
        <v>466</v>
      </c>
      <c r="F121" s="2" t="s">
        <v>98</v>
      </c>
      <c r="G121" s="8"/>
      <c r="H121" s="2" t="s">
        <v>51</v>
      </c>
      <c r="I121" s="2" t="s">
        <v>29</v>
      </c>
      <c r="J121" s="2" t="s">
        <v>24</v>
      </c>
      <c r="K121" s="8"/>
      <c r="L121" s="2" t="e">
        <f>VLOOKUP(D121,VLOOKUP!A:D,2,FALSE)</f>
        <v>#N/A</v>
      </c>
      <c r="M121" s="2" t="e">
        <f>VLOOKUP(D121,VLOOKUP!A:D,3,FALSE)</f>
        <v>#N/A</v>
      </c>
      <c r="N121" s="2" t="str">
        <f>VLOOKUP(Final!D121,'Satisfied By'!A:E,4,FALSE)</f>
        <v>N/A – Managed at the system architecture level.</v>
      </c>
      <c r="O121" s="2" t="str">
        <f>VLOOKUP(Final!D121,'Satisfied By'!A:E,5,FALSE)</f>
        <v>The modularity of subsystems is ensured through system design and validated during integration and testing.</v>
      </c>
      <c r="P121" s="2"/>
      <c r="Q121" s="2"/>
      <c r="R121" s="2"/>
      <c r="S121" s="2"/>
    </row>
    <row r="122" spans="1:19" ht="45" hidden="1" x14ac:dyDescent="0.25">
      <c r="A122" s="4">
        <v>132</v>
      </c>
      <c r="B122" s="2" t="s">
        <v>12</v>
      </c>
      <c r="C122" s="8"/>
      <c r="D122" s="4" t="s">
        <v>320</v>
      </c>
      <c r="E122" s="2" t="s">
        <v>467</v>
      </c>
      <c r="F122" s="2" t="s">
        <v>99</v>
      </c>
      <c r="G122" s="8"/>
      <c r="H122" s="2" t="s">
        <v>51</v>
      </c>
      <c r="I122" s="2" t="s">
        <v>31</v>
      </c>
      <c r="J122" s="2" t="s">
        <v>20</v>
      </c>
      <c r="K122" s="8"/>
      <c r="L122" s="2" t="e">
        <f>VLOOKUP(D122,VLOOKUP!A:D,2,FALSE)</f>
        <v>#N/A</v>
      </c>
      <c r="M122" s="2" t="e">
        <f>VLOOKUP(D122,VLOOKUP!A:D,3,FALSE)</f>
        <v>#N/A</v>
      </c>
      <c r="N122" s="2" t="str">
        <f>VLOOKUP(Final!D122,'Satisfied By'!A:E,4,FALSE)</f>
        <v>N/A – Managed at the system maintenance level.</v>
      </c>
      <c r="O122" s="2" t="str">
        <f>VLOOKUP(Final!D122,'Satisfied By'!A:E,5,FALSE)</f>
        <v>The system is designed for maintainability, and this is confirmed through reliability and maintenance evaluations.</v>
      </c>
      <c r="P122" s="2"/>
      <c r="Q122" s="2"/>
      <c r="R122" s="2"/>
      <c r="S122" s="2"/>
    </row>
    <row r="123" spans="1:19" ht="30" hidden="1" x14ac:dyDescent="0.25">
      <c r="A123" s="4">
        <v>136</v>
      </c>
      <c r="B123" s="2" t="s">
        <v>12</v>
      </c>
      <c r="C123" s="8"/>
      <c r="D123" s="4" t="s">
        <v>321</v>
      </c>
      <c r="E123" s="2" t="s">
        <v>468</v>
      </c>
      <c r="F123" s="2" t="s">
        <v>100</v>
      </c>
      <c r="G123" s="8"/>
      <c r="H123" s="2" t="s">
        <v>51</v>
      </c>
      <c r="I123" s="2" t="s">
        <v>29</v>
      </c>
      <c r="J123" s="2" t="s">
        <v>24</v>
      </c>
      <c r="K123" s="8"/>
      <c r="L123" s="2" t="e">
        <f>VLOOKUP(D123,VLOOKUP!A:D,2,FALSE)</f>
        <v>#N/A</v>
      </c>
      <c r="M123" s="2" t="e">
        <f>VLOOKUP(D123,VLOOKUP!A:D,3,FALSE)</f>
        <v>#N/A</v>
      </c>
      <c r="N123" s="2" t="str">
        <f>VLOOKUP(Final!D123,'Satisfied By'!A:E,4,FALSE)</f>
        <v>N/A – Addressed at the program management level.</v>
      </c>
      <c r="O123" s="2" t="str">
        <f>VLOOKUP(Final!D123,'Satisfied By'!A:E,5,FALSE)</f>
        <v>This requirement is managed through lifecycle planning and sustainment strategies, not functional behavior.</v>
      </c>
      <c r="P123" s="2"/>
      <c r="Q123" s="2"/>
      <c r="R123" s="2"/>
      <c r="S123" s="2"/>
    </row>
    <row r="124" spans="1:19" ht="30" hidden="1" x14ac:dyDescent="0.25">
      <c r="A124" s="4">
        <v>140</v>
      </c>
      <c r="B124" s="2" t="s">
        <v>12</v>
      </c>
      <c r="C124" s="8"/>
      <c r="D124" s="4" t="s">
        <v>322</v>
      </c>
      <c r="E124" s="2" t="s">
        <v>469</v>
      </c>
      <c r="F124" s="2" t="s">
        <v>56</v>
      </c>
      <c r="G124" s="8"/>
      <c r="H124" s="2" t="s">
        <v>51</v>
      </c>
      <c r="I124" s="2" t="s">
        <v>29</v>
      </c>
      <c r="J124" s="2" t="s">
        <v>22</v>
      </c>
      <c r="K124" s="8"/>
      <c r="L124" s="2" t="e">
        <f>VLOOKUP(D124,VLOOKUP!A:D,2,FALSE)</f>
        <v>#N/A</v>
      </c>
      <c r="M124" s="2" t="e">
        <f>VLOOKUP(D124,VLOOKUP!A:D,3,FALSE)</f>
        <v>#N/A</v>
      </c>
      <c r="N124" s="2" t="str">
        <f>VLOOKUP(Final!D124,'Satisfied By'!A:E,4,FALSE)</f>
        <v>N/A – Addressed at the program management level.</v>
      </c>
      <c r="O124" s="2" t="str">
        <f>VLOOKUP(Final!D124,'Satisfied By'!A:E,5,FALSE)</f>
        <v>Lifecycle costs are estimated through financial modeling and cost analysis rather than functional system behavior.</v>
      </c>
      <c r="P124" s="2"/>
      <c r="Q124" s="2"/>
      <c r="R124" s="2"/>
      <c r="S124" s="2"/>
    </row>
    <row r="125" spans="1:19" ht="45" hidden="1" x14ac:dyDescent="0.25">
      <c r="A125" s="4">
        <v>144</v>
      </c>
      <c r="B125" s="2" t="s">
        <v>12</v>
      </c>
      <c r="C125" s="8"/>
      <c r="D125" s="4" t="s">
        <v>323</v>
      </c>
      <c r="E125" s="2" t="s">
        <v>470</v>
      </c>
      <c r="F125" s="2" t="s">
        <v>58</v>
      </c>
      <c r="G125" s="8"/>
      <c r="H125" s="2" t="s">
        <v>51</v>
      </c>
      <c r="I125" s="2" t="s">
        <v>29</v>
      </c>
      <c r="J125" s="2" t="s">
        <v>20</v>
      </c>
      <c r="K125" s="8"/>
      <c r="L125" s="2" t="e">
        <f>VLOOKUP(D125,VLOOKUP!A:D,2,FALSE)</f>
        <v>#N/A</v>
      </c>
      <c r="M125" s="2" t="e">
        <f>VLOOKUP(D125,VLOOKUP!A:D,3,FALSE)</f>
        <v>#N/A</v>
      </c>
      <c r="N125" s="2" t="str">
        <f>VLOOKUP(Final!D125,'Satisfied By'!A:E,4,FALSE)</f>
        <v>N/A – Managed through training programs.</v>
      </c>
      <c r="O125" s="2" t="str">
        <f>VLOOKUP(Final!D125,'Satisfied By'!A:E,5,FALSE)</f>
        <v>This is ensured through development of training materials and simulation environments for maintenance personnel.</v>
      </c>
      <c r="P125" s="2"/>
      <c r="Q125" s="2"/>
      <c r="R125" s="2"/>
      <c r="S125" s="2"/>
    </row>
    <row r="126" spans="1:19" ht="45" hidden="1" x14ac:dyDescent="0.25">
      <c r="A126" s="4">
        <v>148</v>
      </c>
      <c r="B126" s="2" t="s">
        <v>12</v>
      </c>
      <c r="C126" s="8"/>
      <c r="D126" s="4" t="s">
        <v>324</v>
      </c>
      <c r="E126" s="2" t="s">
        <v>471</v>
      </c>
      <c r="F126" s="2" t="s">
        <v>60</v>
      </c>
      <c r="G126" s="8"/>
      <c r="H126" s="2" t="s">
        <v>51</v>
      </c>
      <c r="I126" s="2" t="s">
        <v>29</v>
      </c>
      <c r="J126" s="2" t="s">
        <v>24</v>
      </c>
      <c r="K126" s="8"/>
      <c r="L126" s="2" t="e">
        <f>VLOOKUP(D126,VLOOKUP!A:D,2,FALSE)</f>
        <v>#N/A</v>
      </c>
      <c r="M126" s="2" t="e">
        <f>VLOOKUP(D126,VLOOKUP!A:D,3,FALSE)</f>
        <v>#N/A</v>
      </c>
      <c r="N126" s="2" t="str">
        <f>VLOOKUP(Final!D126,'Satisfied By'!A:E,4,FALSE)</f>
        <v>N/A – Managed through logistics and technical documentation.</v>
      </c>
      <c r="O126" s="2" t="str">
        <f>VLOOKUP(Final!D126,'Satisfied By'!A:E,5,FALSE)</f>
        <v>Repair procedures are documented as part of system sustainment and are verified during testing and validation.</v>
      </c>
      <c r="P126" s="2"/>
      <c r="Q126" s="2"/>
      <c r="R126" s="2"/>
      <c r="S126" s="2"/>
    </row>
    <row r="127" spans="1:19" ht="30" x14ac:dyDescent="0.25">
      <c r="A127" s="4">
        <v>33</v>
      </c>
      <c r="B127" s="2" t="s">
        <v>11</v>
      </c>
      <c r="C127" s="8"/>
      <c r="D127" s="4" t="s">
        <v>325</v>
      </c>
      <c r="E127" s="2" t="s">
        <v>472</v>
      </c>
      <c r="F127" s="2" t="s">
        <v>101</v>
      </c>
      <c r="G127" s="8"/>
      <c r="H127" s="2" t="s">
        <v>18</v>
      </c>
      <c r="I127" s="2" t="s">
        <v>27</v>
      </c>
      <c r="J127" s="2" t="s">
        <v>24</v>
      </c>
      <c r="K127" s="8"/>
      <c r="L127" s="2" t="str">
        <f>VLOOKUP(D127,VLOOKUP!A:D,2,FALSE)</f>
        <v>F5: Manage Communications_THIS</v>
      </c>
      <c r="M127" s="2" t="str">
        <f>VLOOKUP(D127,VLOOKUP!A:D,3,FALSE)</f>
        <v>F5 integrates with KC-46 tankers via MIL-STD-1553.</v>
      </c>
      <c r="N127" s="2" t="str">
        <f>VLOOKUP(Final!D127,'Satisfied By'!A:E,4,FALSE)</f>
        <v>F5: Manage Communications (L2)</v>
      </c>
      <c r="O127" s="2" t="str">
        <f>VLOOKUP(Final!D127,'Satisfied By'!A:E,5,FALSE)</f>
        <v>This behavior ensures data and control integration with KC-46 avionics and refueling systems.</v>
      </c>
      <c r="P127" s="2"/>
      <c r="Q127" s="2"/>
      <c r="R127" s="2"/>
      <c r="S127" s="2"/>
    </row>
    <row r="128" spans="1:19" ht="45" x14ac:dyDescent="0.25">
      <c r="A128" s="4">
        <v>36</v>
      </c>
      <c r="B128" s="2" t="s">
        <v>11</v>
      </c>
      <c r="C128" s="8"/>
      <c r="D128" s="4" t="s">
        <v>326</v>
      </c>
      <c r="E128" s="2" t="s">
        <v>473</v>
      </c>
      <c r="F128" s="2" t="s">
        <v>103</v>
      </c>
      <c r="G128" s="8"/>
      <c r="H128" s="2" t="s">
        <v>18</v>
      </c>
      <c r="I128" s="2" t="s">
        <v>29</v>
      </c>
      <c r="J128" s="2" t="s">
        <v>24</v>
      </c>
      <c r="K128" s="8"/>
      <c r="L128" s="2" t="str">
        <f>VLOOKUP(D128,VLOOKUP!A:D,2,FALSE)</f>
        <v>F5: Manage Communications_THIS</v>
      </c>
      <c r="M128" s="2" t="str">
        <f>VLOOKUP(D128,VLOOKUP!A:D,3,FALSE)</f>
        <v>F5 supports software updates for future tanker compatibility.</v>
      </c>
      <c r="N128" s="2" t="str">
        <f>VLOOKUP(Final!D128,'Satisfied By'!A:E,4,FALSE)</f>
        <v>F5.4: Send Data</v>
      </c>
      <c r="O128" s="2" t="str">
        <f>VLOOKUP(Final!D128,'Satisfied By'!A:E,5,FALSE)</f>
        <v>This behavior ensures that software updates can be transmitted and applied to maintain compatibility with evolving tanker platforms.</v>
      </c>
      <c r="P128" s="2"/>
      <c r="Q128" s="2"/>
      <c r="R128" s="2"/>
      <c r="S128" s="2"/>
    </row>
    <row r="129" spans="1:19" ht="45" x14ac:dyDescent="0.25">
      <c r="A129" s="4">
        <v>43</v>
      </c>
      <c r="B129" s="2" t="s">
        <v>11</v>
      </c>
      <c r="C129" s="8"/>
      <c r="D129" s="4" t="s">
        <v>327</v>
      </c>
      <c r="E129" s="2" t="s">
        <v>474</v>
      </c>
      <c r="F129" s="2" t="s">
        <v>102</v>
      </c>
      <c r="G129" s="8"/>
      <c r="H129" s="2" t="s">
        <v>18</v>
      </c>
      <c r="I129" s="2" t="s">
        <v>27</v>
      </c>
      <c r="J129" s="2" t="s">
        <v>24</v>
      </c>
      <c r="K129" s="8"/>
      <c r="L129" s="2" t="str">
        <f>VLOOKUP(D129,VLOOKUP!A:D,2,FALSE)</f>
        <v>F5: Manage Communications_THIS</v>
      </c>
      <c r="M129" s="2" t="str">
        <f>VLOOKUP(D129,VLOOKUP!A:D,3,FALSE)</f>
        <v>F5 complies with MIL-STD-1553 for tanker avionics.</v>
      </c>
      <c r="N129" s="2" t="str">
        <f>VLOOKUP(Final!D129,'Satisfied By'!A:E,4,FALSE)</f>
        <v>F5: Manage Communications (L2)</v>
      </c>
      <c r="O129" s="2" t="str">
        <f>VLOOKUP(Final!D129,'Satisfied By'!A:E,5,FALSE)</f>
        <v>This function ensures compliance with MIL-STD-1553 by managing the required communication protocols.</v>
      </c>
      <c r="P129" s="2"/>
      <c r="Q129" s="2"/>
      <c r="R129" s="2"/>
      <c r="S129" s="2"/>
    </row>
    <row r="130" spans="1:19" ht="45" x14ac:dyDescent="0.25">
      <c r="A130" s="4">
        <v>47</v>
      </c>
      <c r="B130" s="2" t="s">
        <v>11</v>
      </c>
      <c r="C130" s="8"/>
      <c r="D130" s="4" t="s">
        <v>328</v>
      </c>
      <c r="E130" s="2" t="s">
        <v>475</v>
      </c>
      <c r="F130" s="2" t="s">
        <v>104</v>
      </c>
      <c r="G130" s="8"/>
      <c r="H130" s="2" t="s">
        <v>18</v>
      </c>
      <c r="I130" s="2" t="s">
        <v>31</v>
      </c>
      <c r="J130" s="2" t="s">
        <v>24</v>
      </c>
      <c r="K130" s="8"/>
      <c r="L130" s="2" t="str">
        <f>VLOOKUP(D130,VLOOKUP!A:D,2,FALSE)</f>
        <v>F5: Manage Communications_THIS</v>
      </c>
      <c r="M130" s="2" t="str">
        <f>VLOOKUP(D130,VLOOKUP!A:D,3,FALSE)</f>
        <v>F5 maintains integration times with new tanker models.</v>
      </c>
      <c r="N130" s="2" t="str">
        <f>VLOOKUP(Final!D130,'Satisfied By'!A:E,4,FALSE)</f>
        <v>F5.4: Send Data</v>
      </c>
      <c r="O130" s="2" t="str">
        <f>VLOOKUP(Final!D130,'Satisfied By'!A:E,5,FALSE)</f>
        <v>This behavior facilitates fast software and communication protocol updates for rapid integration with new tanker models.</v>
      </c>
      <c r="P130" s="2"/>
      <c r="Q130" s="2"/>
      <c r="R130" s="2"/>
      <c r="S130" s="2"/>
    </row>
    <row r="131" spans="1:19" ht="30" hidden="1" x14ac:dyDescent="0.25">
      <c r="A131" s="4">
        <v>51</v>
      </c>
      <c r="B131" s="2" t="s">
        <v>11</v>
      </c>
      <c r="C131" s="8"/>
      <c r="D131" s="4" t="s">
        <v>329</v>
      </c>
      <c r="E131" s="2" t="s">
        <v>476</v>
      </c>
      <c r="F131" s="2" t="s">
        <v>105</v>
      </c>
      <c r="G131" s="8"/>
      <c r="H131" s="2" t="s">
        <v>18</v>
      </c>
      <c r="I131" s="2" t="s">
        <v>27</v>
      </c>
      <c r="J131" s="2" t="s">
        <v>24</v>
      </c>
      <c r="K131" s="8"/>
      <c r="L131" s="2" t="str">
        <f>VLOOKUP(D131,VLOOKUP!A:D,2,FALSE)</f>
        <v>F5: Manage Communications_THIS</v>
      </c>
      <c r="M131" s="2" t="str">
        <f>VLOOKUP(D131,VLOOKUP!A:D,3,FALSE)</f>
        <v>F5 interfaces with tanker power supply.</v>
      </c>
      <c r="N131" s="2" t="str">
        <f>VLOOKUP(Final!D131,'Satisfied By'!A:E,4,FALSE)</f>
        <v>N/A – Managed at the hardware design level.</v>
      </c>
      <c r="O131" s="2" t="str">
        <f>VLOOKUP(Final!D131,'Satisfied By'!A:E,5,FALSE)</f>
        <v>Power compatibility is a hardware requirement verified through system integration testing.</v>
      </c>
      <c r="P131" s="2"/>
      <c r="Q131" s="2"/>
      <c r="R131" s="2"/>
      <c r="S131" s="2"/>
    </row>
    <row r="132" spans="1:19" ht="30" hidden="1" x14ac:dyDescent="0.25">
      <c r="A132" s="4">
        <v>55</v>
      </c>
      <c r="B132" s="2" t="s">
        <v>11</v>
      </c>
      <c r="C132" s="8"/>
      <c r="D132" s="4" t="s">
        <v>330</v>
      </c>
      <c r="E132" s="2" t="s">
        <v>477</v>
      </c>
      <c r="F132" s="2" t="s">
        <v>106</v>
      </c>
      <c r="G132" s="8"/>
      <c r="H132" s="2" t="s">
        <v>18</v>
      </c>
      <c r="I132" s="2" t="s">
        <v>27</v>
      </c>
      <c r="J132" s="2" t="s">
        <v>21</v>
      </c>
      <c r="K132" s="8"/>
      <c r="L132" s="2" t="str">
        <f>VLOOKUP(D132,VLOOKUP!A:D,2,FALSE)</f>
        <v>None</v>
      </c>
      <c r="M132" s="2" t="str">
        <f>VLOOKUP(D132,VLOOKUP!A:D,3,FALSE)</f>
        <v>Tanker fuel validation is not explicitly mapped.</v>
      </c>
      <c r="N132" s="2" t="str">
        <f>VLOOKUP(Final!D132,'Satisfied By'!A:E,4,FALSE)</f>
        <v>N/A – Managed through onboard fuel monitoring systems.</v>
      </c>
      <c r="O132" s="2" t="str">
        <f>VLOOKUP(Final!D132,'Satisfied By'!A:E,5,FALSE)</f>
        <v>Fuel validation is verified through sensor readings and automated system checks before operations.</v>
      </c>
      <c r="P132" s="2"/>
      <c r="Q132" s="2"/>
      <c r="R132" s="2"/>
      <c r="S132" s="2"/>
    </row>
    <row r="133" spans="1:19" ht="30" x14ac:dyDescent="0.25">
      <c r="A133" s="4">
        <v>59</v>
      </c>
      <c r="B133" s="2" t="s">
        <v>11</v>
      </c>
      <c r="C133" s="8"/>
      <c r="D133" s="4" t="s">
        <v>331</v>
      </c>
      <c r="E133" s="2" t="s">
        <v>478</v>
      </c>
      <c r="F133" s="2" t="s">
        <v>107</v>
      </c>
      <c r="G133" s="8"/>
      <c r="H133" s="2" t="s">
        <v>18</v>
      </c>
      <c r="I133" s="2" t="s">
        <v>27</v>
      </c>
      <c r="J133" s="2" t="s">
        <v>24</v>
      </c>
      <c r="K133" s="8"/>
      <c r="L133" s="2" t="str">
        <f>VLOOKUP(D133,VLOOKUP!A:D,2,FALSE)</f>
        <v>F5: Manage Communications_THIS</v>
      </c>
      <c r="M133" s="2" t="str">
        <f>VLOOKUP(D133,VLOOKUP!A:D,3,FALSE)</f>
        <v>F5 synchronizes navigation data with tanker waypoints.</v>
      </c>
      <c r="N133" s="2" t="str">
        <f>VLOOKUP(Final!D133,'Satisfied By'!A:E,4,FALSE)</f>
        <v>F5.2: Receive Mission Data</v>
      </c>
      <c r="O133" s="2" t="str">
        <f>VLOOKUP(Final!D133,'Satisfied By'!A:E,5,FALSE)</f>
        <v>This behavior ensures that navigation data is synchronized with the tanker’s flight path.</v>
      </c>
      <c r="P133" s="2"/>
      <c r="Q133" s="2"/>
      <c r="R133" s="2"/>
      <c r="S133" s="2"/>
    </row>
    <row r="134" spans="1:19" ht="30" x14ac:dyDescent="0.25">
      <c r="A134" s="4">
        <v>98</v>
      </c>
      <c r="B134" s="2" t="s">
        <v>11</v>
      </c>
      <c r="C134" s="8"/>
      <c r="D134" s="4" t="s">
        <v>332</v>
      </c>
      <c r="E134" s="2" t="s">
        <v>479</v>
      </c>
      <c r="F134" s="2" t="s">
        <v>46</v>
      </c>
      <c r="G134" s="8"/>
      <c r="H134" s="2" t="s">
        <v>45</v>
      </c>
      <c r="I134" s="2" t="s">
        <v>29</v>
      </c>
      <c r="J134" s="2" t="s">
        <v>24</v>
      </c>
      <c r="K134" s="8"/>
      <c r="L134" s="2" t="str">
        <f>VLOOKUP(D134,VLOOKUP!A:D,2,FALSE)</f>
        <v>F5: Manage Communications_THIS</v>
      </c>
      <c r="M134" s="2" t="str">
        <f>VLOOKUP(D134,VLOOKUP!A:D,3,FALSE)</f>
        <v>F5 interfaces with tanker navigation systems.</v>
      </c>
      <c r="N134" s="2" t="str">
        <f>VLOOKUP(Final!D134,'Satisfied By'!A:E,4,FALSE)</f>
        <v>F5: Manage Communications (L2)</v>
      </c>
      <c r="O134" s="2" t="str">
        <f>VLOOKUP(Final!D134,'Satisfied By'!A:E,5,FALSE)</f>
        <v>This function ensures proper interfacing with tanker navigation systems through data exchange protocols.</v>
      </c>
      <c r="P134" s="2"/>
      <c r="Q134" s="2"/>
      <c r="R134" s="2"/>
      <c r="S134" s="2"/>
    </row>
    <row r="135" spans="1:19" ht="30" x14ac:dyDescent="0.25">
      <c r="A135" s="4">
        <v>104</v>
      </c>
      <c r="B135" s="2" t="s">
        <v>11</v>
      </c>
      <c r="C135" s="8"/>
      <c r="D135" s="4" t="s">
        <v>333</v>
      </c>
      <c r="E135" s="2" t="s">
        <v>480</v>
      </c>
      <c r="F135" s="2" t="s">
        <v>108</v>
      </c>
      <c r="G135" s="8"/>
      <c r="H135" s="2" t="s">
        <v>45</v>
      </c>
      <c r="I135" s="2" t="s">
        <v>29</v>
      </c>
      <c r="J135" s="2" t="s">
        <v>22</v>
      </c>
      <c r="K135" s="8"/>
      <c r="L135" s="2" t="str">
        <f>VLOOKUP(D135,VLOOKUP!A:D,2,FALSE)</f>
        <v>F5: Manage Communications_THIS</v>
      </c>
      <c r="M135" s="2" t="str">
        <f>VLOOKUP(D135,VLOOKUP!A:D,3,FALSE)</f>
        <v>F5 sends tanker health data to ground stations.</v>
      </c>
      <c r="N135" s="2" t="str">
        <f>VLOOKUP(Final!D135,'Satisfied By'!A:E,4,FALSE)</f>
        <v>F5.4: Send Data</v>
      </c>
      <c r="O135" s="2" t="str">
        <f>VLOOKUP(Final!D135,'Satisfied By'!A:E,5,FALSE)</f>
        <v>This behavior enables the transmission of tanker system status to ground control stations.</v>
      </c>
      <c r="P135" s="2"/>
      <c r="Q135" s="2"/>
      <c r="R135" s="2"/>
      <c r="S135" s="2"/>
    </row>
    <row r="136" spans="1:19" ht="30" x14ac:dyDescent="0.25">
      <c r="A136" s="4">
        <v>108</v>
      </c>
      <c r="B136" s="2" t="s">
        <v>11</v>
      </c>
      <c r="C136" s="8"/>
      <c r="D136" s="4" t="s">
        <v>334</v>
      </c>
      <c r="E136" s="2" t="s">
        <v>481</v>
      </c>
      <c r="F136" s="2" t="s">
        <v>48</v>
      </c>
      <c r="G136" s="8"/>
      <c r="H136" s="2" t="s">
        <v>45</v>
      </c>
      <c r="I136" s="2" t="s">
        <v>27</v>
      </c>
      <c r="J136" s="2" t="s">
        <v>24</v>
      </c>
      <c r="K136" s="8"/>
      <c r="L136" s="2" t="str">
        <f>VLOOKUP(D136,VLOOKUP!A:D,2,FALSE)</f>
        <v>F5: Manage Communications_THIS</v>
      </c>
      <c r="M136" s="2" t="str">
        <f>VLOOKUP(D136,VLOOKUP!A:D,3,FALSE)</f>
        <v>F5 complies with Link 16 protocols.</v>
      </c>
      <c r="N136" s="2" t="str">
        <f>VLOOKUP(Final!D136,'Satisfied By'!A:E,4,FALSE)</f>
        <v>F5: Manage Communications (L2)</v>
      </c>
      <c r="O136" s="2" t="str">
        <f>VLOOKUP(Final!D136,'Satisfied By'!A:E,5,FALSE)</f>
        <v>This function ensures adherence to Link 16 protocols for secure and reliable communication.</v>
      </c>
      <c r="P136" s="2"/>
      <c r="Q136" s="2"/>
      <c r="R136" s="2"/>
      <c r="S136" s="2"/>
    </row>
    <row r="137" spans="1:19" ht="30" x14ac:dyDescent="0.25">
      <c r="A137" s="4">
        <v>112</v>
      </c>
      <c r="B137" s="2" t="s">
        <v>11</v>
      </c>
      <c r="C137" s="8"/>
      <c r="D137" s="4" t="s">
        <v>335</v>
      </c>
      <c r="E137" s="2" t="s">
        <v>482</v>
      </c>
      <c r="F137" s="2" t="s">
        <v>109</v>
      </c>
      <c r="G137" s="8"/>
      <c r="H137" s="2" t="s">
        <v>45</v>
      </c>
      <c r="I137" s="2" t="s">
        <v>27</v>
      </c>
      <c r="J137" s="2" t="s">
        <v>24</v>
      </c>
      <c r="K137" s="8"/>
      <c r="L137" s="2" t="str">
        <f>VLOOKUP(D137,VLOOKUP!A:D,2,FALSE)</f>
        <v>F5: Manage Communications_THIS</v>
      </c>
      <c r="M137" s="2" t="str">
        <f>VLOOKUP(D137,VLOOKUP!A:D,3,FALSE)</f>
        <v>F5 auto-detects tanker data buses.</v>
      </c>
      <c r="N137" s="2" t="str">
        <f>VLOOKUP(Final!D137,'Satisfied By'!A:E,4,FALSE)</f>
        <v>F5: Manage Communications (L2)</v>
      </c>
      <c r="O137" s="2" t="str">
        <f>VLOOKUP(Final!D137,'Satisfied By'!A:E,5,FALSE)</f>
        <v>This behavior allows the system to identify and configure its interfaces to match the tanker’s data buses.</v>
      </c>
      <c r="P137" s="2"/>
      <c r="Q137" s="2"/>
      <c r="R137" s="2"/>
      <c r="S137" s="2"/>
    </row>
    <row r="138" spans="1:19" ht="30" x14ac:dyDescent="0.25">
      <c r="A138" s="4">
        <v>116</v>
      </c>
      <c r="B138" s="2" t="s">
        <v>11</v>
      </c>
      <c r="C138" s="8"/>
      <c r="D138" s="4" t="s">
        <v>336</v>
      </c>
      <c r="E138" s="2" t="s">
        <v>483</v>
      </c>
      <c r="F138" s="2" t="s">
        <v>110</v>
      </c>
      <c r="G138" s="8"/>
      <c r="H138" s="2" t="s">
        <v>45</v>
      </c>
      <c r="I138" s="2" t="s">
        <v>29</v>
      </c>
      <c r="J138" s="2" t="s">
        <v>24</v>
      </c>
      <c r="K138" s="8"/>
      <c r="L138" s="2" t="str">
        <f>VLOOKUP(D138,VLOOKUP!A:D,2,FALSE)</f>
        <v>F5: Manage Communications_THIS</v>
      </c>
      <c r="M138" s="2" t="str">
        <f>VLOOKUP(D138,VLOOKUP!A:D,3,FALSE)</f>
        <v>F5 synchronizes fuel data with tanker logistical systems.</v>
      </c>
      <c r="N138" s="2" t="str">
        <f>VLOOKUP(Final!D138,'Satisfied By'!A:E,4,FALSE)</f>
        <v>F5.2: Receive Mission Data</v>
      </c>
      <c r="O138" s="2" t="str">
        <f>VLOOKUP(Final!D138,'Satisfied By'!A:E,5,FALSE)</f>
        <v>This function ensures that fuel status and transfer data are synchronized with tanker logistical records.</v>
      </c>
      <c r="P138" s="2"/>
      <c r="Q138" s="2"/>
      <c r="R138" s="2"/>
      <c r="S138" s="2"/>
    </row>
    <row r="139" spans="1:19" ht="45" x14ac:dyDescent="0.25">
      <c r="A139" s="4">
        <v>120</v>
      </c>
      <c r="B139" s="2" t="s">
        <v>11</v>
      </c>
      <c r="C139" s="8"/>
      <c r="D139" s="4" t="s">
        <v>337</v>
      </c>
      <c r="E139" s="2" t="s">
        <v>484</v>
      </c>
      <c r="F139" s="2" t="s">
        <v>111</v>
      </c>
      <c r="G139" s="8"/>
      <c r="H139" s="2" t="s">
        <v>45</v>
      </c>
      <c r="I139" s="2" t="s">
        <v>31</v>
      </c>
      <c r="J139" s="2" t="s">
        <v>21</v>
      </c>
      <c r="K139" s="8"/>
      <c r="L139" s="2" t="str">
        <f>VLOOKUP(D139,VLOOKUP!A:D,2,FALSE)</f>
        <v>F5: Manage Communications_THIS</v>
      </c>
      <c r="M139" s="2" t="str">
        <f>VLOOKUP(D139,VLOOKUP!A:D,3,FALSE)</f>
        <v>F5 ensures low latency for critical tanker commands.</v>
      </c>
      <c r="N139" s="2" t="str">
        <f>VLOOKUP(Final!D139,'Satisfied By'!A:E,4,FALSE)</f>
        <v>F5.1: Receive Real-Time Statuses</v>
      </c>
      <c r="O139" s="2" t="str">
        <f>VLOOKUP(Final!D139,'Satisfied By'!A:E,5,FALSE)</f>
        <v>This behavior ensures low-latency communication for tanker command and control operations.</v>
      </c>
      <c r="P139" s="2"/>
      <c r="Q139" s="2"/>
      <c r="R139" s="2"/>
      <c r="S139" s="2"/>
    </row>
    <row r="140" spans="1:19" ht="45" hidden="1" x14ac:dyDescent="0.25">
      <c r="A140" s="4" t="s">
        <v>185</v>
      </c>
      <c r="B140" s="2" t="s">
        <v>11</v>
      </c>
      <c r="C140" s="8"/>
      <c r="D140" s="4" t="s">
        <v>338</v>
      </c>
      <c r="E140" s="2" t="s">
        <v>485</v>
      </c>
      <c r="F140" s="2" t="s">
        <v>186</v>
      </c>
      <c r="G140" s="8"/>
      <c r="H140" s="2" t="s">
        <v>51</v>
      </c>
      <c r="I140" s="2" t="s">
        <v>31</v>
      </c>
      <c r="J140" s="2" t="s">
        <v>24</v>
      </c>
      <c r="K140" s="8"/>
      <c r="L140" s="2" t="e">
        <f>VLOOKUP(D140,VLOOKUP!A:D,2,FALSE)</f>
        <v>#N/A</v>
      </c>
      <c r="M140" s="2" t="e">
        <f>VLOOKUP(D140,VLOOKUP!A:D,3,FALSE)</f>
        <v>#N/A</v>
      </c>
      <c r="N140" s="2" t="str">
        <f>VLOOKUP(Final!D140,'Satisfied By'!A:E,4,FALSE)</f>
        <v>N/A – Managed at the hardware design level.</v>
      </c>
      <c r="O140" s="2" t="str">
        <f>VLOOKUP(Final!D140,'Satisfied By'!A:E,5,FALSE)</f>
        <v>This is verified through system-level weight and space allocation analysis.</v>
      </c>
      <c r="P140" s="2"/>
      <c r="Q140" s="2"/>
      <c r="R140" s="2"/>
      <c r="S140" s="2"/>
    </row>
    <row r="141" spans="1:19" ht="30" x14ac:dyDescent="0.25">
      <c r="A141" s="4">
        <v>62</v>
      </c>
      <c r="B141" s="2" t="s">
        <v>3</v>
      </c>
      <c r="C141" s="8"/>
      <c r="D141" s="4" t="s">
        <v>339</v>
      </c>
      <c r="E141" s="2" t="s">
        <v>486</v>
      </c>
      <c r="F141" s="2" t="s">
        <v>112</v>
      </c>
      <c r="G141" s="8"/>
      <c r="H141" s="2" t="s">
        <v>19</v>
      </c>
      <c r="I141" s="2" t="s">
        <v>31</v>
      </c>
      <c r="J141" s="2" t="s">
        <v>21</v>
      </c>
      <c r="K141" s="8"/>
      <c r="L141" s="2" t="e">
        <f>VLOOKUP(D141,VLOOKUP!A:D,2,FALSE)</f>
        <v>#N/A</v>
      </c>
      <c r="M141" s="2" t="e">
        <f>VLOOKUP(D141,VLOOKUP!A:D,3,FALSE)</f>
        <v>#N/A</v>
      </c>
      <c r="N141" s="2" t="str">
        <f>VLOOKUP(Final!D141,'Satisfied By'!A:E,4,FALSE)</f>
        <v>F3.3: Initiate Fuel Transfer</v>
      </c>
      <c r="O141" s="2" t="str">
        <f>VLOOKUP(Final!D141,'Satisfied By'!A:E,5,FALSE)</f>
        <v>This behavior ensures that fuel is transferred at the required rate using onboard flow control mechanisms.</v>
      </c>
      <c r="P141" s="2"/>
      <c r="Q141" s="2"/>
      <c r="R141" s="2"/>
      <c r="S141" s="2"/>
    </row>
    <row r="142" spans="1:19" ht="30" x14ac:dyDescent="0.25">
      <c r="A142" s="4">
        <v>65</v>
      </c>
      <c r="B142" s="2" t="s">
        <v>3</v>
      </c>
      <c r="C142" s="8"/>
      <c r="D142" s="4" t="s">
        <v>340</v>
      </c>
      <c r="E142" s="2" t="s">
        <v>487</v>
      </c>
      <c r="F142" s="2" t="s">
        <v>113</v>
      </c>
      <c r="G142" s="8"/>
      <c r="H142" s="2" t="s">
        <v>19</v>
      </c>
      <c r="I142" s="2" t="s">
        <v>31</v>
      </c>
      <c r="J142" s="2" t="s">
        <v>24</v>
      </c>
      <c r="K142" s="8"/>
      <c r="L142" s="2" t="e">
        <f>VLOOKUP(D142,VLOOKUP!A:D,2,FALSE)</f>
        <v>#N/A</v>
      </c>
      <c r="M142" s="2" t="e">
        <f>VLOOKUP(D142,VLOOKUP!A:D,3,FALSE)</f>
        <v>#N/A</v>
      </c>
      <c r="N142" s="2" t="str">
        <f>VLOOKUP(Final!D142,'Satisfied By'!A:E,4,FALSE)</f>
        <v>F4.3: Log Failures and Archive Data</v>
      </c>
      <c r="O142" s="2" t="str">
        <f>VLOOKUP(Final!D142,'Satisfied By'!A:E,5,FALSE)</f>
        <v>This behavior ensures that system downtime metrics are logged and reported accurately for analysis.</v>
      </c>
      <c r="P142" s="2"/>
      <c r="Q142" s="2"/>
      <c r="R142" s="2"/>
      <c r="S142" s="2"/>
    </row>
    <row r="143" spans="1:19" ht="45" x14ac:dyDescent="0.25">
      <c r="A143" s="4">
        <v>68</v>
      </c>
      <c r="B143" s="2" t="s">
        <v>3</v>
      </c>
      <c r="C143" s="8"/>
      <c r="D143" s="4" t="s">
        <v>341</v>
      </c>
      <c r="E143" s="2" t="s">
        <v>488</v>
      </c>
      <c r="F143" s="2" t="s">
        <v>114</v>
      </c>
      <c r="G143" s="8"/>
      <c r="H143" s="2" t="s">
        <v>19</v>
      </c>
      <c r="I143" s="2" t="s">
        <v>29</v>
      </c>
      <c r="J143" s="2" t="s">
        <v>22</v>
      </c>
      <c r="K143" s="8"/>
      <c r="L143" s="2" t="e">
        <f>VLOOKUP(D143,VLOOKUP!A:D,2,FALSE)</f>
        <v>#N/A</v>
      </c>
      <c r="M143" s="2" t="e">
        <f>VLOOKUP(D143,VLOOKUP!A:D,3,FALSE)</f>
        <v>#N/A</v>
      </c>
      <c r="N143" s="2" t="str">
        <f>VLOOKUP(Final!D143,'Satisfied By'!A:E,4,FALSE)</f>
        <v>F1.3: Prioritize Requests</v>
      </c>
      <c r="O143" s="2" t="str">
        <f>VLOOKUP(Final!D143,'Satisfied By'!A:E,5,FALSE)</f>
        <v>This function prioritizes refueling schedules to optimize fuel transfer efficiency.</v>
      </c>
      <c r="P143" s="2"/>
      <c r="Q143" s="2"/>
      <c r="R143" s="2"/>
      <c r="S143" s="2"/>
    </row>
    <row r="144" spans="1:19" ht="45" x14ac:dyDescent="0.25">
      <c r="A144" s="4">
        <v>71</v>
      </c>
      <c r="B144" s="2" t="s">
        <v>3</v>
      </c>
      <c r="C144" s="8"/>
      <c r="D144" s="4" t="s">
        <v>342</v>
      </c>
      <c r="E144" s="2" t="s">
        <v>489</v>
      </c>
      <c r="F144" s="2" t="s">
        <v>115</v>
      </c>
      <c r="G144" s="8"/>
      <c r="H144" s="2" t="s">
        <v>19</v>
      </c>
      <c r="I144" s="2" t="s">
        <v>31</v>
      </c>
      <c r="J144" s="2" t="s">
        <v>22</v>
      </c>
      <c r="K144" s="8"/>
      <c r="L144" s="2" t="e">
        <f>VLOOKUP(D144,VLOOKUP!A:D,2,FALSE)</f>
        <v>#N/A</v>
      </c>
      <c r="M144" s="2" t="e">
        <f>VLOOKUP(D144,VLOOKUP!A:D,3,FALSE)</f>
        <v>#N/A</v>
      </c>
      <c r="N144" s="2" t="str">
        <f>VLOOKUP(Final!D144,'Satisfied By'!A:E,4,FALSE)</f>
        <v>F3.7: Adjust Flow Rate</v>
      </c>
      <c r="O144" s="2" t="str">
        <f>VLOOKUP(Final!D144,'Satisfied By'!A:E,5,FALSE)</f>
        <v>This behavior ensures fuel is dispensed at an optimal rate to minimize waste.</v>
      </c>
      <c r="P144" s="2"/>
      <c r="Q144" s="2"/>
      <c r="R144" s="2"/>
      <c r="S144" s="2"/>
    </row>
    <row r="145" spans="1:19" ht="45" x14ac:dyDescent="0.25">
      <c r="A145" s="4">
        <v>74</v>
      </c>
      <c r="B145" s="2" t="s">
        <v>3</v>
      </c>
      <c r="C145" s="8"/>
      <c r="D145" s="4" t="s">
        <v>343</v>
      </c>
      <c r="E145" s="2" t="s">
        <v>490</v>
      </c>
      <c r="F145" s="2" t="s">
        <v>116</v>
      </c>
      <c r="G145" s="8"/>
      <c r="H145" s="2" t="s">
        <v>19</v>
      </c>
      <c r="I145" s="2" t="s">
        <v>31</v>
      </c>
      <c r="J145" s="2" t="s">
        <v>21</v>
      </c>
      <c r="K145" s="8"/>
      <c r="L145" s="2" t="e">
        <f>VLOOKUP(D145,VLOOKUP!A:D,2,FALSE)</f>
        <v>#N/A</v>
      </c>
      <c r="M145" s="2" t="e">
        <f>VLOOKUP(D145,VLOOKUP!A:D,3,FALSE)</f>
        <v>#N/A</v>
      </c>
      <c r="N145" s="2" t="str">
        <f>VLOOKUP(Final!D145,'Satisfied By'!A:E,4,FALSE)</f>
        <v>F3.4: Monitor Flow &amp; Stability</v>
      </c>
      <c r="O145" s="2" t="str">
        <f>VLOOKUP(Final!D145,'Satisfied By'!A:E,5,FALSE)</f>
        <v>This function monitors and adjusts the flow rate to ensure precise fuel transfer accuracy.</v>
      </c>
      <c r="P145" s="2"/>
      <c r="Q145" s="2"/>
      <c r="R145" s="2"/>
      <c r="S145" s="2"/>
    </row>
    <row r="146" spans="1:19" ht="30" x14ac:dyDescent="0.25">
      <c r="A146" s="4">
        <v>77</v>
      </c>
      <c r="B146" s="2" t="s">
        <v>3</v>
      </c>
      <c r="C146" s="8"/>
      <c r="D146" s="4" t="s">
        <v>344</v>
      </c>
      <c r="E146" s="2" t="s">
        <v>491</v>
      </c>
      <c r="F146" s="2" t="s">
        <v>70</v>
      </c>
      <c r="G146" s="8"/>
      <c r="H146" s="2" t="s">
        <v>19</v>
      </c>
      <c r="I146" s="2" t="s">
        <v>29</v>
      </c>
      <c r="J146" s="2" t="s">
        <v>22</v>
      </c>
      <c r="K146" s="8"/>
      <c r="L146" s="2" t="e">
        <f>VLOOKUP(D146,VLOOKUP!A:D,2,FALSE)</f>
        <v>#N/A</v>
      </c>
      <c r="M146" s="2" t="e">
        <f>VLOOKUP(D146,VLOOKUP!A:D,3,FALSE)</f>
        <v>#N/A</v>
      </c>
      <c r="N146" s="2" t="str">
        <f>VLOOKUP(Final!D146,'Satisfied By'!A:E,4,FALSE)</f>
        <v>F3.4: Monitor Flow &amp; Stability</v>
      </c>
      <c r="O146" s="2" t="str">
        <f>VLOOKUP(Final!D146,'Satisfied By'!A:E,5,FALSE)</f>
        <v>This behavior stabilizes fuel transfer to minimize turbulence effects on the receiving aircraft.</v>
      </c>
      <c r="P146" s="2"/>
      <c r="Q146" s="2"/>
      <c r="R146" s="2"/>
      <c r="S146" s="2"/>
    </row>
    <row r="147" spans="1:19" ht="30" x14ac:dyDescent="0.25">
      <c r="A147" s="4">
        <v>80</v>
      </c>
      <c r="B147" s="2" t="s">
        <v>3</v>
      </c>
      <c r="C147" s="8"/>
      <c r="D147" s="4" t="s">
        <v>345</v>
      </c>
      <c r="E147" s="2" t="s">
        <v>492</v>
      </c>
      <c r="F147" s="2" t="s">
        <v>117</v>
      </c>
      <c r="G147" s="8"/>
      <c r="H147" s="2" t="s">
        <v>19</v>
      </c>
      <c r="I147" s="2" t="s">
        <v>27</v>
      </c>
      <c r="J147" s="2" t="s">
        <v>24</v>
      </c>
      <c r="K147" s="8"/>
      <c r="L147" s="2" t="e">
        <f>VLOOKUP(D147,VLOOKUP!A:D,2,FALSE)</f>
        <v>#N/A</v>
      </c>
      <c r="M147" s="2" t="e">
        <f>VLOOKUP(D147,VLOOKUP!A:D,3,FALSE)</f>
        <v>#N/A</v>
      </c>
      <c r="N147" s="2" t="str">
        <f>VLOOKUP(Final!D147,'Satisfied By'!A:E,4,FALSE)</f>
        <v>F3.2: Confirm Fuel Type</v>
      </c>
      <c r="O147" s="2" t="str">
        <f>VLOOKUP(Final!D147,'Satisfied By'!A:E,5,FALSE)</f>
        <v>This function ensures that the fuel being transferred meets the required quality standards.</v>
      </c>
      <c r="P147" s="2"/>
      <c r="Q147" s="2"/>
      <c r="R147" s="2"/>
      <c r="S147" s="2"/>
    </row>
    <row r="148" spans="1:19" ht="45" x14ac:dyDescent="0.25">
      <c r="A148" s="4">
        <v>83</v>
      </c>
      <c r="B148" s="2" t="s">
        <v>3</v>
      </c>
      <c r="C148" s="8"/>
      <c r="D148" s="4" t="s">
        <v>346</v>
      </c>
      <c r="E148" s="2" t="s">
        <v>493</v>
      </c>
      <c r="F148" s="2" t="s">
        <v>118</v>
      </c>
      <c r="G148" s="8"/>
      <c r="H148" s="2" t="s">
        <v>19</v>
      </c>
      <c r="I148" s="2" t="s">
        <v>31</v>
      </c>
      <c r="J148" s="2" t="s">
        <v>20</v>
      </c>
      <c r="K148" s="8"/>
      <c r="L148" s="2" t="e">
        <f>VLOOKUP(D148,VLOOKUP!A:D,2,FALSE)</f>
        <v>#N/A</v>
      </c>
      <c r="M148" s="2" t="e">
        <f>VLOOKUP(D148,VLOOKUP!A:D,3,FALSE)</f>
        <v>#N/A</v>
      </c>
      <c r="N148" s="2" t="str">
        <f>VLOOKUP(Final!D148,'Satisfied By'!A:E,4,FALSE)</f>
        <v>F3.6: Complete Transfer</v>
      </c>
      <c r="O148" s="2" t="str">
        <f>VLOOKUP(Final!D148,'Satisfied By'!A:E,5,FALSE)</f>
        <v>This behavior ensures that once the fuel transfer is complete, the system logs and transmits completion status to relevant parties.</v>
      </c>
      <c r="P148" s="2"/>
      <c r="Q148" s="2"/>
      <c r="R148" s="2"/>
      <c r="S148" s="2"/>
    </row>
    <row r="149" spans="1:19" ht="45" x14ac:dyDescent="0.25">
      <c r="A149" s="4">
        <v>86</v>
      </c>
      <c r="B149" s="2" t="s">
        <v>3</v>
      </c>
      <c r="C149" s="8"/>
      <c r="D149" s="4" t="s">
        <v>347</v>
      </c>
      <c r="E149" s="2" t="s">
        <v>494</v>
      </c>
      <c r="F149" s="2" t="s">
        <v>196</v>
      </c>
      <c r="G149" s="8"/>
      <c r="H149" s="2" t="s">
        <v>19</v>
      </c>
      <c r="I149" s="2" t="s">
        <v>29</v>
      </c>
      <c r="J149" s="2" t="s">
        <v>22</v>
      </c>
      <c r="K149" s="8"/>
      <c r="L149" s="2" t="e">
        <f>VLOOKUP(D149,VLOOKUP!A:D,2,FALSE)</f>
        <v>#N/A</v>
      </c>
      <c r="M149" s="2" t="e">
        <f>VLOOKUP(D149,VLOOKUP!A:D,3,FALSE)</f>
        <v>#N/A</v>
      </c>
      <c r="N149" s="2" t="str">
        <f>VLOOKUP(Final!D149,'Satisfied By'!A:E,4,FALSE)</f>
        <v>F1.3: Prioritize Requests</v>
      </c>
      <c r="O149" s="2" t="str">
        <f>VLOOKUP(Final!D149,'Satisfied By'!A:E,5,FALSE)</f>
        <v>This function ensures that refueling is dynamically prioritized based on aircraft fuel levels and operational needs.</v>
      </c>
      <c r="P149" s="2"/>
      <c r="Q149" s="2"/>
      <c r="R149" s="2"/>
      <c r="S149" s="2"/>
    </row>
    <row r="150" spans="1:19" ht="60" x14ac:dyDescent="0.25">
      <c r="A150" s="4">
        <v>89</v>
      </c>
      <c r="B150" s="2" t="s">
        <v>3</v>
      </c>
      <c r="C150" s="8"/>
      <c r="D150" s="4" t="s">
        <v>348</v>
      </c>
      <c r="E150" s="2" t="s">
        <v>495</v>
      </c>
      <c r="F150" s="2" t="s">
        <v>119</v>
      </c>
      <c r="G150" s="8"/>
      <c r="H150" s="2" t="s">
        <v>19</v>
      </c>
      <c r="I150" s="2" t="s">
        <v>27</v>
      </c>
      <c r="J150" s="2" t="s">
        <v>20</v>
      </c>
      <c r="K150" s="8"/>
      <c r="L150" s="2" t="e">
        <f>VLOOKUP(D150,VLOOKUP!A:D,2,FALSE)</f>
        <v>#N/A</v>
      </c>
      <c r="M150" s="2" t="e">
        <f>VLOOKUP(D150,VLOOKUP!A:D,3,FALSE)</f>
        <v>#N/A</v>
      </c>
      <c r="N150" s="2" t="str">
        <f>VLOOKUP(Final!D150,'Satisfied By'!A:E,4,FALSE)</f>
        <v>F4.3: Log Failures and Archive Data</v>
      </c>
      <c r="O150" s="2" t="str">
        <f>VLOOKUP(Final!D150,'Satisfied By'!A:E,5,FALSE)</f>
        <v>This function logs system health data, allowing for predictive analysis of maintenance needs to prevent failures.</v>
      </c>
      <c r="P150" s="2"/>
      <c r="Q150" s="2"/>
      <c r="R150" s="2"/>
      <c r="S150" s="2"/>
    </row>
    <row r="151" spans="1:19" ht="60" x14ac:dyDescent="0.25">
      <c r="A151" s="2" t="s">
        <v>164</v>
      </c>
      <c r="B151" s="2" t="s">
        <v>165</v>
      </c>
      <c r="C151" s="8"/>
      <c r="D151" s="4" t="s">
        <v>349</v>
      </c>
      <c r="E151" s="2" t="s">
        <v>496</v>
      </c>
      <c r="F151" s="2" t="s">
        <v>166</v>
      </c>
      <c r="G151" s="8"/>
      <c r="H151" s="2" t="s">
        <v>26</v>
      </c>
      <c r="I151" s="2" t="s">
        <v>31</v>
      </c>
      <c r="J151" s="2" t="s">
        <v>21</v>
      </c>
      <c r="K151" s="8"/>
      <c r="L151" s="2" t="str">
        <f>VLOOKUP(D151,VLOOKUP!A:D,2,FALSE)</f>
        <v>F1: Manage Refueling Requests_THIS</v>
      </c>
      <c r="M151" s="2" t="str">
        <f>VLOOKUP(D151,VLOOKUP!A:D,3,FALSE)</f>
        <v>F1 processes refueling requests within required time.</v>
      </c>
      <c r="N151" s="2" t="str">
        <f>VLOOKUP(Final!D151,'Satisfied By'!A:E,4,FALSE)</f>
        <v>F1.1: Receive &amp; Authenticate Request</v>
      </c>
      <c r="O151" s="2" t="str">
        <f>VLOOKUP(Final!D151,'Satisfied By'!A:E,5,FALSE)</f>
        <v>This behavior ensures that all refueling requests are validated and processed efficiently in real-time.</v>
      </c>
      <c r="P151" s="2"/>
      <c r="Q151" s="2"/>
      <c r="R151" s="2"/>
      <c r="S151" s="2"/>
    </row>
    <row r="152" spans="1:19" ht="60" x14ac:dyDescent="0.25">
      <c r="A152" s="2" t="s">
        <v>167</v>
      </c>
      <c r="B152" s="2" t="s">
        <v>165</v>
      </c>
      <c r="C152" s="8"/>
      <c r="D152" s="4" t="s">
        <v>350</v>
      </c>
      <c r="E152" s="2" t="s">
        <v>497</v>
      </c>
      <c r="F152" s="2" t="s">
        <v>168</v>
      </c>
      <c r="G152" s="8"/>
      <c r="H152" s="2" t="s">
        <v>26</v>
      </c>
      <c r="I152" s="2" t="s">
        <v>29</v>
      </c>
      <c r="J152" s="2" t="s">
        <v>22</v>
      </c>
      <c r="K152" s="8"/>
      <c r="L152" s="2" t="str">
        <f>VLOOKUP(D152,VLOOKUP!A:D,2,FALSE)</f>
        <v>F1: Manage Refueling Requests_THIS</v>
      </c>
      <c r="M152" s="2" t="str">
        <f>VLOOKUP(D152,VLOOKUP!A:D,3,FALSE)</f>
        <v>F1 prioritizes requests based on urgency and mission criticality.</v>
      </c>
      <c r="N152" s="2" t="str">
        <f>VLOOKUP(Final!D152,'Satisfied By'!A:E,4,FALSE)</f>
        <v>F1.3: Prioritize Requests</v>
      </c>
      <c r="O152" s="2" t="str">
        <f>VLOOKUP(Final!D152,'Satisfied By'!A:E,5,FALSE)</f>
        <v>This function implements logic for dynamically prioritizing refueling requests based on mission urgency.</v>
      </c>
      <c r="P152" s="2"/>
      <c r="Q152" s="2"/>
      <c r="R152" s="2"/>
      <c r="S152" s="2"/>
    </row>
    <row r="153" spans="1:19" ht="60" x14ac:dyDescent="0.25">
      <c r="A153" s="2" t="s">
        <v>169</v>
      </c>
      <c r="B153" s="2" t="s">
        <v>165</v>
      </c>
      <c r="C153" s="8"/>
      <c r="D153" s="4" t="s">
        <v>351</v>
      </c>
      <c r="E153" s="2" t="s">
        <v>498</v>
      </c>
      <c r="F153" s="2" t="s">
        <v>180</v>
      </c>
      <c r="G153" s="8"/>
      <c r="H153" s="2" t="s">
        <v>26</v>
      </c>
      <c r="I153" s="2" t="s">
        <v>31</v>
      </c>
      <c r="J153" s="2" t="s">
        <v>20</v>
      </c>
      <c r="K153" s="8"/>
      <c r="L153" s="2" t="str">
        <f>VLOOKUP(D153,VLOOKUP!A:D,2,FALSE)</f>
        <v>F1: Manage Refueling Requests_THIS</v>
      </c>
      <c r="M153" s="2" t="str">
        <f>VLOOKUP(D153,VLOOKUP!A:D,3,FALSE)</f>
        <v>F1 generates and broadcasts schedules within required time.</v>
      </c>
      <c r="N153" s="2" t="str">
        <f>VLOOKUP(Final!D153,'Satisfied By'!A:E,4,FALSE)</f>
        <v>F1.4: Generate Schedule</v>
      </c>
      <c r="O153" s="2" t="str">
        <f>VLOOKUP(Final!D153,'Satisfied By'!A:E,5,FALSE)</f>
        <v>This behavior ensures that refueling schedules are generated and communicated in a timely manner to optimize operations.</v>
      </c>
      <c r="P153" s="2"/>
      <c r="Q153" s="2"/>
      <c r="R153" s="2"/>
      <c r="S153" s="2"/>
    </row>
    <row r="154" spans="1:19" ht="45" x14ac:dyDescent="0.25">
      <c r="A154" s="2" t="s">
        <v>170</v>
      </c>
      <c r="B154" s="2" t="s">
        <v>165</v>
      </c>
      <c r="C154" s="8"/>
      <c r="D154" s="4" t="s">
        <v>352</v>
      </c>
      <c r="E154" s="2" t="s">
        <v>499</v>
      </c>
      <c r="F154" s="2" t="s">
        <v>171</v>
      </c>
      <c r="G154" s="8"/>
      <c r="H154" s="2" t="s">
        <v>26</v>
      </c>
      <c r="I154" s="2" t="s">
        <v>29</v>
      </c>
      <c r="J154" s="2" t="s">
        <v>21</v>
      </c>
      <c r="K154" s="8"/>
      <c r="L154" s="2" t="str">
        <f>VLOOKUP(D154,VLOOKUP!A:D,2,FALSE)</f>
        <v>F1: Manage Refueling Requests_THIS</v>
      </c>
      <c r="M154" s="2" t="str">
        <f>VLOOKUP(D154,VLOOKUP!A:D,3,FALSE)</f>
        <v>F1 dynamically updates schedules in response to disruptions.</v>
      </c>
      <c r="N154" s="2" t="str">
        <f>VLOOKUP(Final!D154,'Satisfied By'!A:E,4,FALSE)</f>
        <v>F1.5: Update Schedule Dynamically</v>
      </c>
      <c r="O154" s="2" t="str">
        <f>VLOOKUP(Final!D154,'Satisfied By'!A:E,5,FALSE)</f>
        <v>This function ensures that refueling schedules can be adapted dynamically to accommodate real-time operational changes.</v>
      </c>
      <c r="P154" s="2"/>
      <c r="Q154" s="2"/>
      <c r="R154" s="2"/>
      <c r="S154" s="2"/>
    </row>
    <row r="155" spans="1:19" ht="60" x14ac:dyDescent="0.25">
      <c r="A155" s="2" t="s">
        <v>172</v>
      </c>
      <c r="B155" s="2" t="s">
        <v>165</v>
      </c>
      <c r="C155" s="8"/>
      <c r="D155" s="4" t="s">
        <v>353</v>
      </c>
      <c r="E155" s="2" t="s">
        <v>500</v>
      </c>
      <c r="F155" s="2" t="s">
        <v>173</v>
      </c>
      <c r="G155" s="8"/>
      <c r="H155" s="2" t="s">
        <v>26</v>
      </c>
      <c r="I155" s="2" t="s">
        <v>31</v>
      </c>
      <c r="J155" s="2" t="s">
        <v>20</v>
      </c>
      <c r="K155" s="8"/>
      <c r="L155" s="2" t="str">
        <f>VLOOKUP(D155,VLOOKUP!A:D,2,FALSE)</f>
        <v>F1: Manage Refueling Requests_THIS</v>
      </c>
      <c r="M155" s="2" t="str">
        <f>VLOOKUP(D155,VLOOKUP!A:D,3,FALSE)</f>
        <v>F1 generates post-mission reports and transmits them to ground control.</v>
      </c>
      <c r="N155" s="2" t="str">
        <f>VLOOKUP(Final!D155,'Satisfied By'!A:E,4,FALSE)</f>
        <v>F1.6: Transmit Status &amp; Reports</v>
      </c>
      <c r="O155" s="2" t="str">
        <f>VLOOKUP(Final!D155,'Satisfied By'!A:E,5,FALSE)</f>
        <v>This function ensures that post-mission reports are compiled and sent to ground control within the required timeframe.</v>
      </c>
      <c r="P155" s="2"/>
      <c r="Q155" s="2"/>
      <c r="R155" s="2"/>
      <c r="S155" s="2"/>
    </row>
    <row r="156" spans="1:19" ht="45" x14ac:dyDescent="0.25">
      <c r="A156" s="4" t="s">
        <v>187</v>
      </c>
      <c r="B156" s="2" t="s">
        <v>165</v>
      </c>
      <c r="C156" s="8"/>
      <c r="D156" s="4" t="s">
        <v>354</v>
      </c>
      <c r="E156" s="2" t="s">
        <v>501</v>
      </c>
      <c r="F156" s="2" t="s">
        <v>188</v>
      </c>
      <c r="G156" s="8"/>
      <c r="H156" s="2" t="s">
        <v>26</v>
      </c>
      <c r="I156" s="2" t="s">
        <v>31</v>
      </c>
      <c r="J156" s="2" t="s">
        <v>20</v>
      </c>
      <c r="K156" s="8"/>
      <c r="L156" s="2" t="str">
        <f>VLOOKUP(D156,VLOOKUP!A:D,2,FALSE)</f>
        <v>F1: Manage Refueling Requests_THIS</v>
      </c>
      <c r="M156" s="2" t="str">
        <f>VLOOKUP(D156,VLOOKUP!A:D,3,FALSE)</f>
        <v>F1 transmits mission status updates every 30 seconds.</v>
      </c>
      <c r="N156" s="2" t="str">
        <f>VLOOKUP(Final!D156,'Satisfied By'!A:E,4,FALSE)</f>
        <v>F1.6: Transmit Status &amp; Reports</v>
      </c>
      <c r="O156" s="2" t="str">
        <f>VLOOKUP(Final!D156,'Satisfied By'!A:E,5,FALSE)</f>
        <v>This behavior ensures that mission status updates are sent periodically to maintain situational awareness for operators.</v>
      </c>
      <c r="P156" s="2"/>
      <c r="Q156" s="2"/>
      <c r="R156" s="2"/>
      <c r="S156" s="2"/>
    </row>
  </sheetData>
  <autoFilter ref="A2:S156" xr:uid="{C256C63F-B061-4610-9F73-02E8B767B063}">
    <filterColumn colId="7">
      <filters>
        <filter val="External Interface"/>
        <filter val="Functional"/>
        <filter val="Operational"/>
        <filter val="Performance"/>
      </filters>
    </filterColumn>
    <filterColumn colId="13">
      <filters>
        <filter val="F1.1: Receive &amp; Authenticate Request"/>
        <filter val="F1.2: Validate Fuel Capacity"/>
        <filter val="F1.3: Prioritize Requests"/>
        <filter val="F1.4: Generate Schedule"/>
        <filter val="F1.5: Update Schedule Dynamically"/>
        <filter val="F1.6: Transmit Status &amp; Reports"/>
        <filter val="F1.6: Transmit Status &amp; Reports – This activity compiles and sends detailed post-mission reports, thereby satisfying the reporting requirement."/>
        <filter val="F2.2: Adjust Boom Length &amp; Altitude"/>
        <filter val="F2.3: Calibrate to Fuel Port"/>
        <filter val="F2.4: Align Refueling Probe"/>
        <filter val="F2.5: Stabilize During Turbulence"/>
        <filter val="F2.6: Retract Probe"/>
        <filter val="F3.1: Validate Fuel Compatibility"/>
        <filter val="F3.2: Confirm Fuel Type"/>
        <filter val="F3.3: Initiate Fuel Transfer"/>
        <filter val="F3.4: Monitor Flow &amp; Stability"/>
        <filter val="F3.5: Emergency Shutdown"/>
        <filter val="F3.6: Complete Transfer"/>
        <filter val="F3.7: Adjust Flow Rate"/>
        <filter val="F4.1: Monitor Proximity"/>
        <filter val="F4.3: Log Failures and Archive Data"/>
        <filter val="F4.3: Log Failures and Archive Data – This behavior archives mission and diagnostic data for the required retention period."/>
        <filter val="F4.4: Manage Fault Recovery"/>
        <filter val="F4.5: Sensor Isolation"/>
        <filter val="F4.6: Send Status Notifications"/>
        <filter val="F4: Monitor Safety &amp; Diagnostics (L2)"/>
        <filter val="F5.1: Receive Real-Time Statuses"/>
        <filter val="F5.2: Receive Mission Data"/>
        <filter val="F5.4: Send Data"/>
        <filter val="F5.5: Activate Comms Countermeasures"/>
        <filter val="F5: Manage Communications (L2)"/>
        <filter val="F6.2: Analyze Environment"/>
        <filter val="F6.3: Analyze GPS"/>
        <filter val="F6.4: Engage Alternate Sensors"/>
        <filter val="F6.5: Send Status"/>
        <filter val="F6: Operate in Adverse Conditions (L2)"/>
        <filter val="F7.1: Validate Digital Certificates"/>
        <filter val="F7.2: Authenticate Aircraft"/>
        <filter val="F7.3: Terminate Unauthorized Connections"/>
        <filter val="F7.4: Zero-Trust &amp; RF Masking"/>
        <filter val="F7.5: Apply Cryptography"/>
        <filter val="F7.6: Ensure Msg Integrity"/>
        <filter val="F7.7: Re-establish Encryption"/>
        <filter val="F7.8: Erase Data if Tampered"/>
        <filter val="F7.9: Send Threat Mitigation"/>
        <filter val="F8.1: Display Mission Data"/>
        <filter val="F8.2: Receive Operator Input"/>
        <filter val="F8.3: Process Manual Override"/>
        <filter val="F8.4: Execute Emergency Controls"/>
        <filter val="F8.5: Provide Alerts &amp; Feedback"/>
        <filter val="F8.6: Update HMI Displays"/>
        <filter val="F8.7: Subsystem Health &amp; Multilingual Interface Support"/>
        <filter val="F8.8: Logging &amp; Dashboard Integration"/>
        <filter val="F8.9: Reprioritize Refueling Queue"/>
      </filters>
    </filterColumn>
  </autoFilter>
  <mergeCells count="3">
    <mergeCell ref="D1:F1"/>
    <mergeCell ref="H1:J1"/>
    <mergeCell ref="L1:O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5800-6306-45CF-BBAD-A7D51DE774C8}">
  <dimension ref="A1:E155"/>
  <sheetViews>
    <sheetView workbookViewId="0">
      <selection sqref="A1:C1048576"/>
    </sheetView>
  </sheetViews>
  <sheetFormatPr defaultRowHeight="15" x14ac:dyDescent="0.25"/>
  <cols>
    <col min="1" max="1" width="12.140625" style="4" bestFit="1" customWidth="1"/>
    <col min="2" max="2" width="28.28515625" customWidth="1"/>
    <col min="3" max="3" width="44.140625" bestFit="1" customWidth="1"/>
    <col min="4" max="4" width="34.7109375" customWidth="1"/>
    <col min="5" max="5" width="54" customWidth="1"/>
  </cols>
  <sheetData>
    <row r="1" spans="1:5" x14ac:dyDescent="0.25">
      <c r="A1" s="4" t="s">
        <v>191</v>
      </c>
      <c r="B1" s="1" t="s">
        <v>502</v>
      </c>
      <c r="C1" s="1" t="s">
        <v>16</v>
      </c>
      <c r="D1" s="1" t="s">
        <v>745</v>
      </c>
      <c r="E1" s="1" t="s">
        <v>945</v>
      </c>
    </row>
    <row r="2" spans="1:5" ht="45" x14ac:dyDescent="0.25">
      <c r="A2" s="4" t="s">
        <v>201</v>
      </c>
      <c r="B2" s="2" t="s">
        <v>355</v>
      </c>
      <c r="C2" s="3" t="s">
        <v>64</v>
      </c>
      <c r="D2" s="19" t="s">
        <v>667</v>
      </c>
      <c r="E2" s="2" t="s">
        <v>746</v>
      </c>
    </row>
    <row r="3" spans="1:5" ht="75" x14ac:dyDescent="0.25">
      <c r="A3" s="4" t="s">
        <v>202</v>
      </c>
      <c r="B3" s="2" t="s">
        <v>356</v>
      </c>
      <c r="C3" s="2" t="s">
        <v>65</v>
      </c>
      <c r="D3" s="19" t="s">
        <v>673</v>
      </c>
      <c r="E3" s="2" t="s">
        <v>747</v>
      </c>
    </row>
    <row r="4" spans="1:5" ht="45" x14ac:dyDescent="0.25">
      <c r="A4" s="4" t="s">
        <v>203</v>
      </c>
      <c r="B4" s="2" t="s">
        <v>357</v>
      </c>
      <c r="C4" s="2" t="s">
        <v>62</v>
      </c>
      <c r="D4" s="19" t="s">
        <v>677</v>
      </c>
      <c r="E4" s="2" t="s">
        <v>748</v>
      </c>
    </row>
    <row r="5" spans="1:5" ht="45" x14ac:dyDescent="0.25">
      <c r="A5" s="4" t="s">
        <v>204</v>
      </c>
      <c r="B5" s="2" t="s">
        <v>358</v>
      </c>
      <c r="C5" s="2" t="s">
        <v>63</v>
      </c>
      <c r="D5" s="19" t="s">
        <v>639</v>
      </c>
      <c r="E5" s="2" t="s">
        <v>749</v>
      </c>
    </row>
    <row r="6" spans="1:5" ht="30" x14ac:dyDescent="0.25">
      <c r="A6" s="4" t="s">
        <v>205</v>
      </c>
      <c r="B6" s="2" t="s">
        <v>359</v>
      </c>
      <c r="C6" s="2" t="s">
        <v>67</v>
      </c>
      <c r="D6" s="19" t="s">
        <v>659</v>
      </c>
      <c r="E6" s="2" t="s">
        <v>750</v>
      </c>
    </row>
    <row r="7" spans="1:5" ht="45" x14ac:dyDescent="0.25">
      <c r="A7" s="4" t="s">
        <v>206</v>
      </c>
      <c r="B7" s="2" t="s">
        <v>360</v>
      </c>
      <c r="C7" s="2" t="s">
        <v>68</v>
      </c>
      <c r="D7" s="19" t="s">
        <v>657</v>
      </c>
      <c r="E7" s="2" t="s">
        <v>751</v>
      </c>
    </row>
    <row r="8" spans="1:5" ht="30" x14ac:dyDescent="0.25">
      <c r="A8" s="4" t="s">
        <v>207</v>
      </c>
      <c r="B8" s="2" t="s">
        <v>361</v>
      </c>
      <c r="C8" s="2" t="s">
        <v>66</v>
      </c>
      <c r="D8" s="19" t="s">
        <v>671</v>
      </c>
      <c r="E8" s="2" t="s">
        <v>752</v>
      </c>
    </row>
    <row r="9" spans="1:5" ht="30" x14ac:dyDescent="0.25">
      <c r="A9" s="4" t="s">
        <v>208</v>
      </c>
      <c r="B9" s="2" t="s">
        <v>362</v>
      </c>
      <c r="C9" s="2" t="s">
        <v>69</v>
      </c>
      <c r="D9" s="19" t="s">
        <v>675</v>
      </c>
      <c r="E9" s="2" t="s">
        <v>753</v>
      </c>
    </row>
    <row r="10" spans="1:5" ht="30" x14ac:dyDescent="0.25">
      <c r="A10" s="4" t="s">
        <v>209</v>
      </c>
      <c r="B10" s="2" t="s">
        <v>363</v>
      </c>
      <c r="C10" s="2" t="s">
        <v>72</v>
      </c>
      <c r="D10" s="19" t="s">
        <v>661</v>
      </c>
      <c r="E10" s="2" t="s">
        <v>754</v>
      </c>
    </row>
    <row r="11" spans="1:5" ht="45" x14ac:dyDescent="0.25">
      <c r="A11" s="4" t="s">
        <v>210</v>
      </c>
      <c r="B11" s="2" t="s">
        <v>364</v>
      </c>
      <c r="C11" s="2" t="s">
        <v>73</v>
      </c>
      <c r="D11" s="19" t="s">
        <v>639</v>
      </c>
      <c r="E11" s="2" t="s">
        <v>755</v>
      </c>
    </row>
    <row r="12" spans="1:5" ht="45" x14ac:dyDescent="0.25">
      <c r="A12" s="4" t="s">
        <v>211</v>
      </c>
      <c r="B12" s="2" t="s">
        <v>365</v>
      </c>
      <c r="C12" s="2" t="s">
        <v>163</v>
      </c>
      <c r="D12" s="19" t="s">
        <v>653</v>
      </c>
      <c r="E12" s="2" t="s">
        <v>756</v>
      </c>
    </row>
    <row r="13" spans="1:5" ht="30" x14ac:dyDescent="0.25">
      <c r="A13" s="4" t="s">
        <v>212</v>
      </c>
      <c r="B13" s="2" t="s">
        <v>366</v>
      </c>
      <c r="C13" s="2" t="s">
        <v>120</v>
      </c>
      <c r="D13" s="19" t="s">
        <v>675</v>
      </c>
      <c r="E13" s="2" t="s">
        <v>757</v>
      </c>
    </row>
    <row r="14" spans="1:5" ht="30" x14ac:dyDescent="0.25">
      <c r="A14" s="4" t="s">
        <v>213</v>
      </c>
      <c r="B14" s="2" t="s">
        <v>367</v>
      </c>
      <c r="C14" s="2" t="s">
        <v>121</v>
      </c>
      <c r="D14" s="19" t="s">
        <v>665</v>
      </c>
      <c r="E14" s="2" t="s">
        <v>758</v>
      </c>
    </row>
    <row r="15" spans="1:5" ht="30" x14ac:dyDescent="0.25">
      <c r="A15" s="4" t="s">
        <v>214</v>
      </c>
      <c r="B15" s="2" t="s">
        <v>368</v>
      </c>
      <c r="C15" s="2" t="s">
        <v>122</v>
      </c>
      <c r="D15" s="19" t="s">
        <v>641</v>
      </c>
      <c r="E15" s="2" t="s">
        <v>759</v>
      </c>
    </row>
    <row r="16" spans="1:5" ht="45" x14ac:dyDescent="0.25">
      <c r="A16" s="4" t="s">
        <v>215</v>
      </c>
      <c r="B16" s="2" t="s">
        <v>369</v>
      </c>
      <c r="C16" s="2" t="s">
        <v>123</v>
      </c>
      <c r="D16" s="19" t="s">
        <v>653</v>
      </c>
      <c r="E16" s="2" t="s">
        <v>760</v>
      </c>
    </row>
    <row r="17" spans="1:5" ht="45" x14ac:dyDescent="0.25">
      <c r="A17" s="4" t="s">
        <v>216</v>
      </c>
      <c r="B17" s="2" t="s">
        <v>370</v>
      </c>
      <c r="C17" s="2" t="s">
        <v>124</v>
      </c>
      <c r="D17" s="19" t="s">
        <v>655</v>
      </c>
      <c r="E17" s="2" t="s">
        <v>761</v>
      </c>
    </row>
    <row r="18" spans="1:5" ht="30" x14ac:dyDescent="0.25">
      <c r="A18" s="4" t="s">
        <v>217</v>
      </c>
      <c r="B18" s="2" t="s">
        <v>371</v>
      </c>
      <c r="C18" s="2" t="s">
        <v>125</v>
      </c>
      <c r="D18" s="19" t="s">
        <v>653</v>
      </c>
      <c r="E18" s="2" t="s">
        <v>762</v>
      </c>
    </row>
    <row r="19" spans="1:5" ht="45" x14ac:dyDescent="0.25">
      <c r="A19" s="4" t="s">
        <v>218</v>
      </c>
      <c r="B19" s="2" t="s">
        <v>372</v>
      </c>
      <c r="C19" s="2" t="s">
        <v>126</v>
      </c>
      <c r="D19" s="19" t="s">
        <v>701</v>
      </c>
      <c r="E19" s="2" t="s">
        <v>763</v>
      </c>
    </row>
    <row r="20" spans="1:5" ht="45" x14ac:dyDescent="0.25">
      <c r="A20" s="4" t="s">
        <v>219</v>
      </c>
      <c r="B20" s="2" t="s">
        <v>373</v>
      </c>
      <c r="C20" s="2" t="s">
        <v>127</v>
      </c>
      <c r="D20" s="19" t="s">
        <v>705</v>
      </c>
      <c r="E20" s="2" t="s">
        <v>764</v>
      </c>
    </row>
    <row r="21" spans="1:5" ht="45" x14ac:dyDescent="0.25">
      <c r="A21" s="4" t="s">
        <v>220</v>
      </c>
      <c r="B21" s="2" t="s">
        <v>374</v>
      </c>
      <c r="C21" s="2" t="s">
        <v>30</v>
      </c>
      <c r="D21" s="19" t="s">
        <v>701</v>
      </c>
      <c r="E21" s="2" t="s">
        <v>765</v>
      </c>
    </row>
    <row r="22" spans="1:5" ht="45" x14ac:dyDescent="0.25">
      <c r="A22" s="4" t="s">
        <v>221</v>
      </c>
      <c r="B22" s="2" t="s">
        <v>375</v>
      </c>
      <c r="C22" s="2" t="s">
        <v>128</v>
      </c>
      <c r="D22" s="19" t="s">
        <v>701</v>
      </c>
      <c r="E22" s="2" t="s">
        <v>766</v>
      </c>
    </row>
    <row r="23" spans="1:5" ht="45" x14ac:dyDescent="0.25">
      <c r="A23" s="4" t="s">
        <v>222</v>
      </c>
      <c r="B23" s="2" t="s">
        <v>376</v>
      </c>
      <c r="C23" s="2" t="s">
        <v>129</v>
      </c>
      <c r="D23" s="19" t="s">
        <v>705</v>
      </c>
      <c r="E23" s="2" t="s">
        <v>767</v>
      </c>
    </row>
    <row r="24" spans="1:5" ht="45" x14ac:dyDescent="0.25">
      <c r="A24" s="4" t="s">
        <v>223</v>
      </c>
      <c r="B24" s="2" t="s">
        <v>377</v>
      </c>
      <c r="C24" s="2" t="s">
        <v>34</v>
      </c>
      <c r="D24" s="19" t="s">
        <v>705</v>
      </c>
      <c r="E24" s="2" t="s">
        <v>768</v>
      </c>
    </row>
    <row r="25" spans="1:5" ht="45" x14ac:dyDescent="0.25">
      <c r="A25" s="4" t="s">
        <v>224</v>
      </c>
      <c r="B25" s="2" t="s">
        <v>378</v>
      </c>
      <c r="C25" s="2" t="s">
        <v>148</v>
      </c>
      <c r="D25" s="19" t="s">
        <v>769</v>
      </c>
      <c r="E25" s="2" t="s">
        <v>770</v>
      </c>
    </row>
    <row r="26" spans="1:5" ht="45" x14ac:dyDescent="0.25">
      <c r="A26" s="4" t="s">
        <v>225</v>
      </c>
      <c r="B26" s="2" t="s">
        <v>379</v>
      </c>
      <c r="C26" s="2" t="s">
        <v>35</v>
      </c>
      <c r="D26" s="19" t="s">
        <v>769</v>
      </c>
      <c r="E26" s="2" t="s">
        <v>771</v>
      </c>
    </row>
    <row r="27" spans="1:5" ht="45" x14ac:dyDescent="0.25">
      <c r="A27" s="4" t="s">
        <v>226</v>
      </c>
      <c r="B27" s="2" t="s">
        <v>380</v>
      </c>
      <c r="C27" s="2" t="s">
        <v>130</v>
      </c>
      <c r="D27" s="19" t="s">
        <v>701</v>
      </c>
      <c r="E27" s="2" t="s">
        <v>772</v>
      </c>
    </row>
    <row r="28" spans="1:5" ht="45" x14ac:dyDescent="0.25">
      <c r="A28" s="4" t="s">
        <v>227</v>
      </c>
      <c r="B28" s="2" t="s">
        <v>381</v>
      </c>
      <c r="C28" s="2" t="s">
        <v>131</v>
      </c>
      <c r="D28" s="19" t="s">
        <v>703</v>
      </c>
      <c r="E28" s="2" t="s">
        <v>773</v>
      </c>
    </row>
    <row r="29" spans="1:5" ht="45" x14ac:dyDescent="0.25">
      <c r="A29" s="4" t="s">
        <v>228</v>
      </c>
      <c r="B29" s="2" t="s">
        <v>382</v>
      </c>
      <c r="C29" s="2" t="s">
        <v>132</v>
      </c>
      <c r="D29" s="19" t="s">
        <v>769</v>
      </c>
      <c r="E29" s="2" t="s">
        <v>774</v>
      </c>
    </row>
    <row r="30" spans="1:5" ht="45" x14ac:dyDescent="0.25">
      <c r="A30" s="4" t="s">
        <v>229</v>
      </c>
      <c r="B30" s="2" t="s">
        <v>383</v>
      </c>
      <c r="C30" s="2" t="s">
        <v>175</v>
      </c>
      <c r="D30" s="19" t="s">
        <v>775</v>
      </c>
      <c r="E30" s="2" t="s">
        <v>776</v>
      </c>
    </row>
    <row r="31" spans="1:5" ht="45" x14ac:dyDescent="0.25">
      <c r="A31" s="4" t="s">
        <v>230</v>
      </c>
      <c r="B31" s="2" t="s">
        <v>384</v>
      </c>
      <c r="C31" s="2" t="s">
        <v>134</v>
      </c>
      <c r="D31" s="19" t="s">
        <v>711</v>
      </c>
      <c r="E31" s="2" t="s">
        <v>777</v>
      </c>
    </row>
    <row r="32" spans="1:5" ht="45" x14ac:dyDescent="0.25">
      <c r="A32" s="4" t="s">
        <v>231</v>
      </c>
      <c r="B32" s="2" t="s">
        <v>385</v>
      </c>
      <c r="C32" s="2" t="s">
        <v>135</v>
      </c>
      <c r="D32" s="19" t="s">
        <v>695</v>
      </c>
      <c r="E32" s="2" t="s">
        <v>778</v>
      </c>
    </row>
    <row r="33" spans="1:5" ht="45" x14ac:dyDescent="0.25">
      <c r="A33" s="4" t="s">
        <v>232</v>
      </c>
      <c r="B33" s="2" t="s">
        <v>386</v>
      </c>
      <c r="C33" s="2" t="s">
        <v>136</v>
      </c>
      <c r="D33" s="19" t="s">
        <v>697</v>
      </c>
      <c r="E33" s="2" t="s">
        <v>779</v>
      </c>
    </row>
    <row r="34" spans="1:5" ht="45" x14ac:dyDescent="0.25">
      <c r="A34" s="4" t="s">
        <v>233</v>
      </c>
      <c r="B34" s="2" t="s">
        <v>387</v>
      </c>
      <c r="C34" s="2" t="s">
        <v>137</v>
      </c>
      <c r="D34" s="19" t="s">
        <v>775</v>
      </c>
      <c r="E34" s="2" t="s">
        <v>780</v>
      </c>
    </row>
    <row r="35" spans="1:5" ht="30" x14ac:dyDescent="0.25">
      <c r="A35" s="4" t="s">
        <v>234</v>
      </c>
      <c r="B35" s="2" t="s">
        <v>388</v>
      </c>
      <c r="C35" s="2" t="s">
        <v>138</v>
      </c>
      <c r="D35" s="19" t="s">
        <v>775</v>
      </c>
      <c r="E35" s="2" t="s">
        <v>781</v>
      </c>
    </row>
    <row r="36" spans="1:5" ht="30" x14ac:dyDescent="0.25">
      <c r="A36" s="4" t="s">
        <v>235</v>
      </c>
      <c r="B36" s="2" t="s">
        <v>503</v>
      </c>
      <c r="C36" s="2" t="s">
        <v>47</v>
      </c>
      <c r="D36" s="19" t="s">
        <v>713</v>
      </c>
      <c r="E36" s="2" t="s">
        <v>782</v>
      </c>
    </row>
    <row r="37" spans="1:5" ht="30" x14ac:dyDescent="0.25">
      <c r="A37" s="4" t="s">
        <v>236</v>
      </c>
      <c r="B37" s="2" t="s">
        <v>389</v>
      </c>
      <c r="C37" s="2" t="s">
        <v>139</v>
      </c>
      <c r="D37" s="19" t="s">
        <v>715</v>
      </c>
      <c r="E37" s="2" t="s">
        <v>783</v>
      </c>
    </row>
    <row r="38" spans="1:5" ht="45" x14ac:dyDescent="0.25">
      <c r="A38" s="4" t="s">
        <v>237</v>
      </c>
      <c r="B38" s="2" t="s">
        <v>390</v>
      </c>
      <c r="C38" s="2" t="s">
        <v>71</v>
      </c>
      <c r="D38" s="19" t="s">
        <v>709</v>
      </c>
      <c r="E38" s="2" t="s">
        <v>784</v>
      </c>
    </row>
    <row r="39" spans="1:5" ht="45" x14ac:dyDescent="0.25">
      <c r="A39" s="4" t="s">
        <v>238</v>
      </c>
      <c r="B39" s="2" t="s">
        <v>504</v>
      </c>
      <c r="C39" s="2" t="s">
        <v>190</v>
      </c>
      <c r="D39" s="19" t="s">
        <v>719</v>
      </c>
      <c r="E39" s="2" t="s">
        <v>785</v>
      </c>
    </row>
    <row r="40" spans="1:5" ht="45" x14ac:dyDescent="0.25">
      <c r="A40" s="4" t="s">
        <v>239</v>
      </c>
      <c r="B40" s="2" t="s">
        <v>391</v>
      </c>
      <c r="C40" s="2" t="s">
        <v>140</v>
      </c>
      <c r="D40" s="19" t="s">
        <v>715</v>
      </c>
      <c r="E40" s="2" t="s">
        <v>786</v>
      </c>
    </row>
    <row r="41" spans="1:5" ht="45" x14ac:dyDescent="0.25">
      <c r="A41" s="4" t="s">
        <v>240</v>
      </c>
      <c r="B41" s="2" t="s">
        <v>392</v>
      </c>
      <c r="C41" s="2" t="s">
        <v>162</v>
      </c>
      <c r="D41" s="19" t="s">
        <v>721</v>
      </c>
      <c r="E41" s="2" t="s">
        <v>787</v>
      </c>
    </row>
    <row r="42" spans="1:5" ht="30" x14ac:dyDescent="0.25">
      <c r="A42" s="4" t="s">
        <v>241</v>
      </c>
      <c r="B42" s="5" t="s">
        <v>505</v>
      </c>
      <c r="C42" s="5" t="s">
        <v>174</v>
      </c>
      <c r="D42" s="19" t="s">
        <v>723</v>
      </c>
      <c r="E42" s="2" t="s">
        <v>788</v>
      </c>
    </row>
    <row r="43" spans="1:5" ht="45" x14ac:dyDescent="0.25">
      <c r="A43" s="4" t="s">
        <v>242</v>
      </c>
      <c r="B43" s="2" t="s">
        <v>393</v>
      </c>
      <c r="C43" s="2" t="s">
        <v>50</v>
      </c>
      <c r="D43" s="19" t="s">
        <v>717</v>
      </c>
      <c r="E43" s="2" t="s">
        <v>789</v>
      </c>
    </row>
    <row r="44" spans="1:5" ht="30" x14ac:dyDescent="0.25">
      <c r="A44" s="4" t="s">
        <v>243</v>
      </c>
      <c r="B44" s="2" t="s">
        <v>394</v>
      </c>
      <c r="C44" s="2" t="s">
        <v>133</v>
      </c>
      <c r="D44" s="19" t="s">
        <v>717</v>
      </c>
      <c r="E44" s="2" t="s">
        <v>790</v>
      </c>
    </row>
    <row r="45" spans="1:5" ht="60" x14ac:dyDescent="0.25">
      <c r="A45" s="4" t="s">
        <v>244</v>
      </c>
      <c r="B45" s="2" t="s">
        <v>395</v>
      </c>
      <c r="C45" s="2" t="s">
        <v>141</v>
      </c>
      <c r="D45" s="19" t="s">
        <v>791</v>
      </c>
      <c r="E45" s="2" t="s">
        <v>792</v>
      </c>
    </row>
    <row r="46" spans="1:5" ht="60" x14ac:dyDescent="0.25">
      <c r="A46" s="4" t="s">
        <v>245</v>
      </c>
      <c r="B46" s="2" t="s">
        <v>396</v>
      </c>
      <c r="C46" s="2" t="s">
        <v>142</v>
      </c>
      <c r="D46" s="19" t="s">
        <v>793</v>
      </c>
      <c r="E46" s="2" t="s">
        <v>794</v>
      </c>
    </row>
    <row r="47" spans="1:5" ht="60" x14ac:dyDescent="0.25">
      <c r="A47" s="4" t="s">
        <v>246</v>
      </c>
      <c r="B47" s="2" t="s">
        <v>397</v>
      </c>
      <c r="C47" s="2" t="s">
        <v>143</v>
      </c>
      <c r="D47" s="19" t="s">
        <v>795</v>
      </c>
      <c r="E47" s="2" t="s">
        <v>796</v>
      </c>
    </row>
    <row r="48" spans="1:5" ht="60" x14ac:dyDescent="0.25">
      <c r="A48" s="4" t="s">
        <v>247</v>
      </c>
      <c r="B48" s="2" t="s">
        <v>398</v>
      </c>
      <c r="C48" s="2" t="s">
        <v>42</v>
      </c>
      <c r="D48" s="19" t="s">
        <v>797</v>
      </c>
      <c r="E48" s="2" t="s">
        <v>798</v>
      </c>
    </row>
    <row r="49" spans="1:5" ht="60" x14ac:dyDescent="0.25">
      <c r="A49" s="4" t="s">
        <v>248</v>
      </c>
      <c r="B49" s="2" t="s">
        <v>506</v>
      </c>
      <c r="C49" s="2" t="s">
        <v>43</v>
      </c>
      <c r="D49" s="19" t="s">
        <v>799</v>
      </c>
      <c r="E49" s="2" t="s">
        <v>800</v>
      </c>
    </row>
    <row r="50" spans="1:5" ht="60" x14ac:dyDescent="0.25">
      <c r="A50" s="4" t="s">
        <v>249</v>
      </c>
      <c r="B50" s="2" t="s">
        <v>399</v>
      </c>
      <c r="C50" s="2" t="s">
        <v>144</v>
      </c>
      <c r="D50" s="19" t="s">
        <v>801</v>
      </c>
      <c r="E50" s="2" t="s">
        <v>802</v>
      </c>
    </row>
    <row r="51" spans="1:5" ht="60" x14ac:dyDescent="0.25">
      <c r="A51" s="4" t="s">
        <v>250</v>
      </c>
      <c r="B51" s="2" t="s">
        <v>400</v>
      </c>
      <c r="C51" s="2" t="s">
        <v>145</v>
      </c>
      <c r="D51" s="19" t="s">
        <v>803</v>
      </c>
      <c r="E51" s="2" t="s">
        <v>804</v>
      </c>
    </row>
    <row r="52" spans="1:5" ht="60" x14ac:dyDescent="0.25">
      <c r="A52" s="4" t="s">
        <v>251</v>
      </c>
      <c r="B52" s="2" t="s">
        <v>507</v>
      </c>
      <c r="C52" s="2" t="s">
        <v>146</v>
      </c>
      <c r="D52" s="19" t="s">
        <v>805</v>
      </c>
      <c r="E52" s="2" t="s">
        <v>806</v>
      </c>
    </row>
    <row r="53" spans="1:5" ht="60" x14ac:dyDescent="0.25">
      <c r="A53" s="4" t="s">
        <v>252</v>
      </c>
      <c r="B53" s="2" t="s">
        <v>401</v>
      </c>
      <c r="C53" s="2" t="s">
        <v>147</v>
      </c>
      <c r="D53" s="19" t="s">
        <v>807</v>
      </c>
      <c r="E53" s="2" t="s">
        <v>808</v>
      </c>
    </row>
    <row r="54" spans="1:5" ht="60" x14ac:dyDescent="0.25">
      <c r="A54" s="4" t="s">
        <v>253</v>
      </c>
      <c r="B54" s="2" t="s">
        <v>402</v>
      </c>
      <c r="C54" s="2" t="s">
        <v>149</v>
      </c>
      <c r="D54" s="19" t="s">
        <v>809</v>
      </c>
      <c r="E54" s="2" t="s">
        <v>810</v>
      </c>
    </row>
    <row r="55" spans="1:5" ht="45" x14ac:dyDescent="0.25">
      <c r="A55" s="4" t="s">
        <v>254</v>
      </c>
      <c r="B55" s="2" t="s">
        <v>403</v>
      </c>
      <c r="C55" s="2" t="s">
        <v>150</v>
      </c>
      <c r="D55" s="19" t="s">
        <v>811</v>
      </c>
      <c r="E55" s="2" t="s">
        <v>812</v>
      </c>
    </row>
    <row r="56" spans="1:5" ht="45" x14ac:dyDescent="0.25">
      <c r="A56" s="4" t="s">
        <v>255</v>
      </c>
      <c r="B56" s="2" t="s">
        <v>404</v>
      </c>
      <c r="C56" s="2" t="s">
        <v>53</v>
      </c>
      <c r="D56" s="19" t="s">
        <v>813</v>
      </c>
      <c r="E56" s="2" t="s">
        <v>814</v>
      </c>
    </row>
    <row r="57" spans="1:5" ht="45" x14ac:dyDescent="0.25">
      <c r="A57" s="4" t="s">
        <v>256</v>
      </c>
      <c r="B57" s="2" t="s">
        <v>405</v>
      </c>
      <c r="C57" s="2" t="s">
        <v>153</v>
      </c>
      <c r="D57" s="19" t="s">
        <v>815</v>
      </c>
      <c r="E57" s="2" t="s">
        <v>816</v>
      </c>
    </row>
    <row r="58" spans="1:5" ht="45" x14ac:dyDescent="0.25">
      <c r="A58" s="4" t="s">
        <v>257</v>
      </c>
      <c r="B58" s="2" t="s">
        <v>406</v>
      </c>
      <c r="C58" s="2" t="s">
        <v>151</v>
      </c>
      <c r="D58" s="19" t="s">
        <v>817</v>
      </c>
      <c r="E58" s="2" t="s">
        <v>818</v>
      </c>
    </row>
    <row r="59" spans="1:5" ht="60" x14ac:dyDescent="0.25">
      <c r="A59" s="4" t="s">
        <v>258</v>
      </c>
      <c r="B59" s="2" t="s">
        <v>407</v>
      </c>
      <c r="C59" s="2" t="s">
        <v>152</v>
      </c>
      <c r="D59" s="19" t="s">
        <v>819</v>
      </c>
      <c r="E59" s="2" t="s">
        <v>820</v>
      </c>
    </row>
    <row r="60" spans="1:5" ht="60" x14ac:dyDescent="0.25">
      <c r="A60" s="4" t="s">
        <v>259</v>
      </c>
      <c r="B60" s="2" t="s">
        <v>408</v>
      </c>
      <c r="C60" s="2" t="s">
        <v>154</v>
      </c>
      <c r="D60" s="19" t="s">
        <v>821</v>
      </c>
      <c r="E60" s="2" t="s">
        <v>822</v>
      </c>
    </row>
    <row r="61" spans="1:5" ht="60" x14ac:dyDescent="0.25">
      <c r="A61" s="4" t="s">
        <v>260</v>
      </c>
      <c r="B61" s="2" t="s">
        <v>409</v>
      </c>
      <c r="C61" s="2" t="s">
        <v>57</v>
      </c>
      <c r="D61" s="19" t="s">
        <v>823</v>
      </c>
      <c r="E61" s="2" t="s">
        <v>824</v>
      </c>
    </row>
    <row r="62" spans="1:5" ht="60" x14ac:dyDescent="0.25">
      <c r="A62" s="4" t="s">
        <v>261</v>
      </c>
      <c r="B62" s="2" t="s">
        <v>410</v>
      </c>
      <c r="C62" s="2" t="s">
        <v>59</v>
      </c>
      <c r="D62" s="19" t="s">
        <v>825</v>
      </c>
      <c r="E62" s="2" t="s">
        <v>826</v>
      </c>
    </row>
    <row r="63" spans="1:5" ht="45" x14ac:dyDescent="0.25">
      <c r="A63" s="4" t="s">
        <v>262</v>
      </c>
      <c r="B63" s="2" t="s">
        <v>411</v>
      </c>
      <c r="C63" s="2" t="s">
        <v>32</v>
      </c>
      <c r="D63" s="19" t="s">
        <v>649</v>
      </c>
      <c r="E63" s="2" t="s">
        <v>827</v>
      </c>
    </row>
    <row r="64" spans="1:5" ht="30" x14ac:dyDescent="0.25">
      <c r="A64" s="4" t="s">
        <v>263</v>
      </c>
      <c r="B64" s="2" t="s">
        <v>412</v>
      </c>
      <c r="C64" s="2" t="s">
        <v>33</v>
      </c>
      <c r="D64" s="19" t="s">
        <v>681</v>
      </c>
      <c r="E64" s="2" t="s">
        <v>828</v>
      </c>
    </row>
    <row r="65" spans="1:5" ht="45" x14ac:dyDescent="0.25">
      <c r="A65" s="4" t="s">
        <v>264</v>
      </c>
      <c r="B65" s="2" t="s">
        <v>413</v>
      </c>
      <c r="C65" s="2" t="s">
        <v>155</v>
      </c>
      <c r="D65" s="19" t="s">
        <v>683</v>
      </c>
      <c r="E65" s="2" t="s">
        <v>829</v>
      </c>
    </row>
    <row r="66" spans="1:5" ht="30" x14ac:dyDescent="0.25">
      <c r="A66" s="4" t="s">
        <v>265</v>
      </c>
      <c r="B66" s="2" t="s">
        <v>414</v>
      </c>
      <c r="C66" s="2" t="s">
        <v>156</v>
      </c>
      <c r="D66" s="19" t="s">
        <v>830</v>
      </c>
      <c r="E66" s="2" t="s">
        <v>831</v>
      </c>
    </row>
    <row r="67" spans="1:5" ht="60" x14ac:dyDescent="0.25">
      <c r="A67" s="4" t="s">
        <v>266</v>
      </c>
      <c r="B67" s="2" t="s">
        <v>415</v>
      </c>
      <c r="C67" s="2" t="s">
        <v>157</v>
      </c>
      <c r="D67" s="19" t="s">
        <v>832</v>
      </c>
      <c r="E67" s="2"/>
    </row>
    <row r="68" spans="1:5" ht="60" x14ac:dyDescent="0.25">
      <c r="A68" s="4" t="s">
        <v>267</v>
      </c>
      <c r="B68" s="2" t="s">
        <v>416</v>
      </c>
      <c r="C68" s="2" t="s">
        <v>36</v>
      </c>
      <c r="D68" s="19" t="s">
        <v>833</v>
      </c>
      <c r="E68" s="2"/>
    </row>
    <row r="69" spans="1:5" ht="45" x14ac:dyDescent="0.25">
      <c r="A69" s="4" t="s">
        <v>268</v>
      </c>
      <c r="B69" s="2" t="s">
        <v>508</v>
      </c>
      <c r="C69" s="2" t="s">
        <v>158</v>
      </c>
      <c r="D69" s="19" t="s">
        <v>687</v>
      </c>
      <c r="E69" s="2" t="s">
        <v>834</v>
      </c>
    </row>
    <row r="70" spans="1:5" ht="45" x14ac:dyDescent="0.25">
      <c r="A70" s="4" t="s">
        <v>269</v>
      </c>
      <c r="B70" s="2" t="s">
        <v>417</v>
      </c>
      <c r="C70" s="2" t="s">
        <v>192</v>
      </c>
      <c r="D70" s="19" t="s">
        <v>687</v>
      </c>
      <c r="E70" s="2" t="s">
        <v>835</v>
      </c>
    </row>
    <row r="71" spans="1:5" ht="45" x14ac:dyDescent="0.25">
      <c r="A71" s="4" t="s">
        <v>270</v>
      </c>
      <c r="B71" s="2" t="s">
        <v>418</v>
      </c>
      <c r="C71" s="2" t="s">
        <v>193</v>
      </c>
      <c r="D71" s="19" t="s">
        <v>663</v>
      </c>
      <c r="E71" s="2" t="s">
        <v>836</v>
      </c>
    </row>
    <row r="72" spans="1:5" ht="45" x14ac:dyDescent="0.25">
      <c r="A72" s="4" t="s">
        <v>271</v>
      </c>
      <c r="B72" s="2" t="s">
        <v>419</v>
      </c>
      <c r="C72" s="2" t="s">
        <v>159</v>
      </c>
      <c r="D72" s="19" t="s">
        <v>837</v>
      </c>
      <c r="E72" s="2" t="s">
        <v>838</v>
      </c>
    </row>
    <row r="73" spans="1:5" ht="60" x14ac:dyDescent="0.25">
      <c r="A73" s="4" t="s">
        <v>272</v>
      </c>
      <c r="B73" s="2" t="s">
        <v>420</v>
      </c>
      <c r="C73" s="2" t="s">
        <v>160</v>
      </c>
      <c r="D73" s="19" t="s">
        <v>839</v>
      </c>
      <c r="E73" s="2" t="s">
        <v>840</v>
      </c>
    </row>
    <row r="74" spans="1:5" ht="30" x14ac:dyDescent="0.25">
      <c r="A74" s="4" t="s">
        <v>273</v>
      </c>
      <c r="B74" s="2" t="s">
        <v>421</v>
      </c>
      <c r="C74" s="2" t="s">
        <v>161</v>
      </c>
      <c r="D74" s="19" t="s">
        <v>841</v>
      </c>
      <c r="E74" s="2" t="s">
        <v>842</v>
      </c>
    </row>
    <row r="75" spans="1:5" ht="45" x14ac:dyDescent="0.25">
      <c r="A75" s="4" t="s">
        <v>274</v>
      </c>
      <c r="B75" s="2" t="s">
        <v>422</v>
      </c>
      <c r="C75" s="2" t="s">
        <v>194</v>
      </c>
      <c r="D75" s="19" t="s">
        <v>843</v>
      </c>
      <c r="E75" s="2" t="s">
        <v>844</v>
      </c>
    </row>
    <row r="76" spans="1:5" ht="45" x14ac:dyDescent="0.25">
      <c r="A76" s="4" t="s">
        <v>275</v>
      </c>
      <c r="B76" s="2" t="s">
        <v>423</v>
      </c>
      <c r="C76" s="2" t="s">
        <v>40</v>
      </c>
      <c r="D76" s="19" t="s">
        <v>685</v>
      </c>
      <c r="E76" s="2" t="s">
        <v>845</v>
      </c>
    </row>
    <row r="77" spans="1:5" ht="30" x14ac:dyDescent="0.25">
      <c r="A77" s="4" t="s">
        <v>276</v>
      </c>
      <c r="B77" s="2" t="s">
        <v>424</v>
      </c>
      <c r="C77" s="2" t="s">
        <v>41</v>
      </c>
      <c r="D77" s="19" t="s">
        <v>687</v>
      </c>
      <c r="E77" s="2" t="s">
        <v>846</v>
      </c>
    </row>
    <row r="78" spans="1:5" ht="30" x14ac:dyDescent="0.25">
      <c r="A78" s="4" t="s">
        <v>277</v>
      </c>
      <c r="B78" s="2" t="s">
        <v>509</v>
      </c>
      <c r="C78" s="2" t="s">
        <v>195</v>
      </c>
      <c r="D78" s="19" t="s">
        <v>681</v>
      </c>
      <c r="E78" s="2" t="s">
        <v>847</v>
      </c>
    </row>
    <row r="79" spans="1:5" ht="60" x14ac:dyDescent="0.25">
      <c r="A79" s="4" t="s">
        <v>278</v>
      </c>
      <c r="B79" s="2" t="s">
        <v>425</v>
      </c>
      <c r="C79" s="2" t="s">
        <v>52</v>
      </c>
      <c r="D79" s="19" t="s">
        <v>848</v>
      </c>
      <c r="E79" s="2" t="s">
        <v>849</v>
      </c>
    </row>
    <row r="80" spans="1:5" ht="60" x14ac:dyDescent="0.25">
      <c r="A80" s="4" t="s">
        <v>279</v>
      </c>
      <c r="B80" s="2" t="s">
        <v>426</v>
      </c>
      <c r="C80" s="2" t="s">
        <v>197</v>
      </c>
      <c r="D80" s="19" t="s">
        <v>850</v>
      </c>
      <c r="E80" s="2" t="s">
        <v>851</v>
      </c>
    </row>
    <row r="81" spans="1:5" ht="45" x14ac:dyDescent="0.25">
      <c r="A81" s="4" t="s">
        <v>280</v>
      </c>
      <c r="B81" s="2" t="s">
        <v>427</v>
      </c>
      <c r="C81" s="2" t="s">
        <v>54</v>
      </c>
      <c r="D81" s="19" t="s">
        <v>715</v>
      </c>
      <c r="E81" s="2" t="s">
        <v>852</v>
      </c>
    </row>
    <row r="82" spans="1:5" ht="60" x14ac:dyDescent="0.25">
      <c r="A82" s="4" t="s">
        <v>281</v>
      </c>
      <c r="B82" s="2" t="s">
        <v>428</v>
      </c>
      <c r="C82" s="2" t="s">
        <v>55</v>
      </c>
      <c r="D82" s="19" t="s">
        <v>853</v>
      </c>
      <c r="E82" s="2" t="s">
        <v>854</v>
      </c>
    </row>
    <row r="83" spans="1:5" ht="45" x14ac:dyDescent="0.25">
      <c r="A83" s="4" t="s">
        <v>282</v>
      </c>
      <c r="B83" s="2" t="s">
        <v>429</v>
      </c>
      <c r="C83" s="2" t="s">
        <v>198</v>
      </c>
      <c r="D83" s="19" t="s">
        <v>725</v>
      </c>
      <c r="E83" s="2" t="s">
        <v>855</v>
      </c>
    </row>
    <row r="84" spans="1:5" ht="45" x14ac:dyDescent="0.25">
      <c r="A84" s="4" t="s">
        <v>283</v>
      </c>
      <c r="B84" s="2" t="s">
        <v>430</v>
      </c>
      <c r="C84" s="2" t="s">
        <v>199</v>
      </c>
      <c r="D84" s="19" t="s">
        <v>856</v>
      </c>
      <c r="E84" s="2" t="s">
        <v>857</v>
      </c>
    </row>
    <row r="85" spans="1:5" ht="45" x14ac:dyDescent="0.25">
      <c r="A85" s="4" t="s">
        <v>284</v>
      </c>
      <c r="B85" s="2" t="s">
        <v>431</v>
      </c>
      <c r="C85" s="2" t="s">
        <v>200</v>
      </c>
      <c r="D85" s="19" t="s">
        <v>858</v>
      </c>
      <c r="E85" s="2" t="s">
        <v>859</v>
      </c>
    </row>
    <row r="86" spans="1:5" ht="45" x14ac:dyDescent="0.25">
      <c r="A86" s="4" t="s">
        <v>285</v>
      </c>
      <c r="B86" s="2" t="s">
        <v>432</v>
      </c>
      <c r="C86" s="2" t="s">
        <v>61</v>
      </c>
      <c r="D86" s="19" t="s">
        <v>860</v>
      </c>
      <c r="E86" s="2" t="s">
        <v>861</v>
      </c>
    </row>
    <row r="87" spans="1:5" ht="60" x14ac:dyDescent="0.25">
      <c r="A87" s="4" t="s">
        <v>286</v>
      </c>
      <c r="B87" s="2" t="s">
        <v>433</v>
      </c>
      <c r="C87" s="5" t="s">
        <v>176</v>
      </c>
      <c r="D87" s="19" t="s">
        <v>697</v>
      </c>
      <c r="E87" s="2" t="s">
        <v>862</v>
      </c>
    </row>
    <row r="88" spans="1:5" ht="45" x14ac:dyDescent="0.25">
      <c r="A88" s="4" t="s">
        <v>287</v>
      </c>
      <c r="B88" s="2" t="s">
        <v>434</v>
      </c>
      <c r="C88" s="2" t="s">
        <v>74</v>
      </c>
      <c r="D88" s="19" t="s">
        <v>697</v>
      </c>
      <c r="E88" s="2" t="s">
        <v>863</v>
      </c>
    </row>
    <row r="89" spans="1:5" ht="45" x14ac:dyDescent="0.25">
      <c r="A89" s="4" t="s">
        <v>288</v>
      </c>
      <c r="B89" s="2" t="s">
        <v>435</v>
      </c>
      <c r="C89" s="2" t="s">
        <v>75</v>
      </c>
      <c r="D89" s="19" t="s">
        <v>725</v>
      </c>
      <c r="E89" s="2" t="s">
        <v>864</v>
      </c>
    </row>
    <row r="90" spans="1:5" ht="45" x14ac:dyDescent="0.25">
      <c r="A90" s="4" t="s">
        <v>289</v>
      </c>
      <c r="B90" s="2" t="s">
        <v>436</v>
      </c>
      <c r="C90" s="2" t="s">
        <v>76</v>
      </c>
      <c r="D90" s="19" t="s">
        <v>703</v>
      </c>
      <c r="E90" s="2" t="s">
        <v>865</v>
      </c>
    </row>
    <row r="91" spans="1:5" ht="45" x14ac:dyDescent="0.25">
      <c r="A91" s="4" t="s">
        <v>290</v>
      </c>
      <c r="B91" s="2" t="s">
        <v>437</v>
      </c>
      <c r="C91" s="2" t="s">
        <v>77</v>
      </c>
      <c r="D91" s="19" t="s">
        <v>723</v>
      </c>
      <c r="E91" s="2" t="s">
        <v>866</v>
      </c>
    </row>
    <row r="92" spans="1:5" ht="45" x14ac:dyDescent="0.25">
      <c r="A92" s="4" t="s">
        <v>291</v>
      </c>
      <c r="B92" s="2" t="s">
        <v>438</v>
      </c>
      <c r="C92" s="2" t="s">
        <v>78</v>
      </c>
      <c r="D92" s="19" t="s">
        <v>697</v>
      </c>
      <c r="E92" s="2" t="s">
        <v>867</v>
      </c>
    </row>
    <row r="93" spans="1:5" ht="45" x14ac:dyDescent="0.25">
      <c r="A93" s="4" t="s">
        <v>292</v>
      </c>
      <c r="B93" s="2" t="s">
        <v>439</v>
      </c>
      <c r="C93" s="2" t="s">
        <v>79</v>
      </c>
      <c r="D93" s="19" t="s">
        <v>775</v>
      </c>
      <c r="E93" s="2" t="s">
        <v>868</v>
      </c>
    </row>
    <row r="94" spans="1:5" ht="30" x14ac:dyDescent="0.25">
      <c r="A94" s="4" t="s">
        <v>293</v>
      </c>
      <c r="B94" s="2" t="s">
        <v>440</v>
      </c>
      <c r="C94" s="2" t="s">
        <v>44</v>
      </c>
      <c r="D94" s="19" t="s">
        <v>725</v>
      </c>
      <c r="E94" s="2" t="s">
        <v>869</v>
      </c>
    </row>
    <row r="95" spans="1:5" ht="60" x14ac:dyDescent="0.25">
      <c r="A95" s="4" t="s">
        <v>294</v>
      </c>
      <c r="B95" s="2" t="s">
        <v>441</v>
      </c>
      <c r="C95" s="2" t="s">
        <v>80</v>
      </c>
      <c r="D95" s="19" t="s">
        <v>695</v>
      </c>
      <c r="E95" s="2" t="s">
        <v>870</v>
      </c>
    </row>
    <row r="96" spans="1:5" ht="45" x14ac:dyDescent="0.25">
      <c r="A96" s="4" t="s">
        <v>295</v>
      </c>
      <c r="B96" s="2" t="s">
        <v>442</v>
      </c>
      <c r="C96" s="2" t="s">
        <v>177</v>
      </c>
      <c r="D96" s="19" t="s">
        <v>707</v>
      </c>
      <c r="E96" s="2" t="s">
        <v>871</v>
      </c>
    </row>
    <row r="97" spans="1:5" ht="30" x14ac:dyDescent="0.25">
      <c r="A97" s="4" t="s">
        <v>296</v>
      </c>
      <c r="B97" s="2" t="s">
        <v>443</v>
      </c>
      <c r="C97" s="2" t="s">
        <v>82</v>
      </c>
      <c r="D97" s="19" t="s">
        <v>872</v>
      </c>
      <c r="E97" s="2" t="s">
        <v>873</v>
      </c>
    </row>
    <row r="98" spans="1:5" ht="45" x14ac:dyDescent="0.25">
      <c r="A98" s="4" t="s">
        <v>297</v>
      </c>
      <c r="B98" s="2" t="s">
        <v>444</v>
      </c>
      <c r="C98" s="2" t="s">
        <v>81</v>
      </c>
      <c r="D98" s="19" t="s">
        <v>874</v>
      </c>
      <c r="E98" s="2" t="s">
        <v>875</v>
      </c>
    </row>
    <row r="99" spans="1:5" ht="45" x14ac:dyDescent="0.25">
      <c r="A99" s="4" t="s">
        <v>298</v>
      </c>
      <c r="B99" s="2" t="s">
        <v>445</v>
      </c>
      <c r="C99" s="2" t="s">
        <v>83</v>
      </c>
      <c r="D99" s="19" t="s">
        <v>876</v>
      </c>
      <c r="E99" s="2" t="s">
        <v>877</v>
      </c>
    </row>
    <row r="100" spans="1:5" ht="75" x14ac:dyDescent="0.25">
      <c r="A100" s="4" t="s">
        <v>299</v>
      </c>
      <c r="B100" s="2" t="s">
        <v>446</v>
      </c>
      <c r="C100" s="2" t="s">
        <v>85</v>
      </c>
      <c r="D100" s="19" t="s">
        <v>878</v>
      </c>
      <c r="E100" s="2" t="s">
        <v>879</v>
      </c>
    </row>
    <row r="101" spans="1:5" ht="60" x14ac:dyDescent="0.25">
      <c r="A101" s="4" t="s">
        <v>300</v>
      </c>
      <c r="B101" s="2" t="s">
        <v>447</v>
      </c>
      <c r="C101" s="2" t="s">
        <v>84</v>
      </c>
      <c r="D101" s="19" t="s">
        <v>880</v>
      </c>
      <c r="E101" s="2" t="s">
        <v>881</v>
      </c>
    </row>
    <row r="102" spans="1:5" ht="45" x14ac:dyDescent="0.25">
      <c r="A102" s="4" t="s">
        <v>301</v>
      </c>
      <c r="B102" s="2" t="s">
        <v>448</v>
      </c>
      <c r="C102" s="2" t="s">
        <v>86</v>
      </c>
      <c r="D102" s="19" t="s">
        <v>882</v>
      </c>
      <c r="E102" s="2" t="s">
        <v>883</v>
      </c>
    </row>
    <row r="103" spans="1:5" ht="60" x14ac:dyDescent="0.25">
      <c r="A103" s="4" t="s">
        <v>302</v>
      </c>
      <c r="B103" s="2" t="s">
        <v>449</v>
      </c>
      <c r="C103" s="2" t="s">
        <v>87</v>
      </c>
      <c r="D103" s="19" t="s">
        <v>884</v>
      </c>
      <c r="E103" s="2" t="s">
        <v>885</v>
      </c>
    </row>
    <row r="104" spans="1:5" ht="45" x14ac:dyDescent="0.25">
      <c r="A104" s="4" t="s">
        <v>303</v>
      </c>
      <c r="B104" s="6" t="s">
        <v>450</v>
      </c>
      <c r="C104" s="5" t="s">
        <v>178</v>
      </c>
      <c r="D104" s="19" t="s">
        <v>727</v>
      </c>
      <c r="E104" s="2" t="s">
        <v>886</v>
      </c>
    </row>
    <row r="105" spans="1:5" ht="30" x14ac:dyDescent="0.25">
      <c r="A105" s="4" t="s">
        <v>304</v>
      </c>
      <c r="B105" s="2" t="s">
        <v>451</v>
      </c>
      <c r="C105" s="2" t="s">
        <v>88</v>
      </c>
      <c r="D105" s="19" t="s">
        <v>731</v>
      </c>
      <c r="E105" s="2" t="s">
        <v>887</v>
      </c>
    </row>
    <row r="106" spans="1:5" ht="45" x14ac:dyDescent="0.25">
      <c r="A106" s="4" t="s">
        <v>305</v>
      </c>
      <c r="B106" s="2" t="s">
        <v>452</v>
      </c>
      <c r="C106" s="2" t="s">
        <v>37</v>
      </c>
      <c r="D106" s="19" t="s">
        <v>733</v>
      </c>
      <c r="E106" s="2" t="s">
        <v>888</v>
      </c>
    </row>
    <row r="107" spans="1:5" ht="30" x14ac:dyDescent="0.25">
      <c r="A107" s="4" t="s">
        <v>306</v>
      </c>
      <c r="B107" s="2" t="s">
        <v>453</v>
      </c>
      <c r="C107" s="2" t="s">
        <v>38</v>
      </c>
      <c r="D107" s="19" t="s">
        <v>735</v>
      </c>
      <c r="E107" s="2" t="s">
        <v>889</v>
      </c>
    </row>
    <row r="108" spans="1:5" ht="45" x14ac:dyDescent="0.25">
      <c r="A108" s="4" t="s">
        <v>307</v>
      </c>
      <c r="B108" s="2" t="s">
        <v>454</v>
      </c>
      <c r="C108" s="2" t="s">
        <v>39</v>
      </c>
      <c r="D108" s="19" t="s">
        <v>729</v>
      </c>
      <c r="E108" s="2" t="s">
        <v>890</v>
      </c>
    </row>
    <row r="109" spans="1:5" ht="45" x14ac:dyDescent="0.25">
      <c r="A109" s="4" t="s">
        <v>308</v>
      </c>
      <c r="B109" s="2" t="s">
        <v>455</v>
      </c>
      <c r="C109" s="2" t="s">
        <v>90</v>
      </c>
      <c r="D109" s="19" t="s">
        <v>737</v>
      </c>
      <c r="E109" s="2" t="s">
        <v>891</v>
      </c>
    </row>
    <row r="110" spans="1:5" ht="45" x14ac:dyDescent="0.25">
      <c r="A110" s="4" t="s">
        <v>309</v>
      </c>
      <c r="B110" s="2" t="s">
        <v>456</v>
      </c>
      <c r="C110" s="2" t="s">
        <v>89</v>
      </c>
      <c r="D110" s="19" t="s">
        <v>739</v>
      </c>
      <c r="E110" s="2" t="s">
        <v>892</v>
      </c>
    </row>
    <row r="111" spans="1:5" ht="30" x14ac:dyDescent="0.25">
      <c r="A111" s="4" t="s">
        <v>310</v>
      </c>
      <c r="B111" s="2" t="s">
        <v>457</v>
      </c>
      <c r="C111" s="2" t="s">
        <v>91</v>
      </c>
      <c r="D111" s="19" t="s">
        <v>739</v>
      </c>
      <c r="E111" s="2" t="s">
        <v>893</v>
      </c>
    </row>
    <row r="112" spans="1:5" ht="30" x14ac:dyDescent="0.25">
      <c r="A112" s="4" t="s">
        <v>311</v>
      </c>
      <c r="B112" s="2" t="s">
        <v>458</v>
      </c>
      <c r="C112" s="2" t="s">
        <v>92</v>
      </c>
      <c r="D112" s="19" t="s">
        <v>741</v>
      </c>
      <c r="E112" s="2" t="s">
        <v>894</v>
      </c>
    </row>
    <row r="113" spans="1:5" ht="30" x14ac:dyDescent="0.25">
      <c r="A113" s="4" t="s">
        <v>312</v>
      </c>
      <c r="B113" s="2" t="s">
        <v>459</v>
      </c>
      <c r="C113" s="2" t="s">
        <v>93</v>
      </c>
      <c r="D113" s="19" t="s">
        <v>735</v>
      </c>
      <c r="E113" s="2" t="s">
        <v>895</v>
      </c>
    </row>
    <row r="114" spans="1:5" ht="45" x14ac:dyDescent="0.25">
      <c r="A114" s="4" t="s">
        <v>313</v>
      </c>
      <c r="B114" s="2" t="s">
        <v>460</v>
      </c>
      <c r="C114" s="2" t="s">
        <v>94</v>
      </c>
      <c r="D114" s="19" t="s">
        <v>737</v>
      </c>
      <c r="E114" s="2" t="s">
        <v>896</v>
      </c>
    </row>
    <row r="115" spans="1:5" ht="45" x14ac:dyDescent="0.25">
      <c r="A115" s="4" t="s">
        <v>314</v>
      </c>
      <c r="B115" s="2" t="s">
        <v>461</v>
      </c>
      <c r="C115" s="2" t="s">
        <v>49</v>
      </c>
      <c r="D115" s="19" t="s">
        <v>741</v>
      </c>
      <c r="E115" s="2" t="s">
        <v>897</v>
      </c>
    </row>
    <row r="116" spans="1:5" ht="30" x14ac:dyDescent="0.25">
      <c r="A116" s="4" t="s">
        <v>315</v>
      </c>
      <c r="B116" s="2" t="s">
        <v>462</v>
      </c>
      <c r="C116" s="2" t="s">
        <v>95</v>
      </c>
      <c r="D116" s="19" t="s">
        <v>733</v>
      </c>
      <c r="E116" s="2" t="s">
        <v>898</v>
      </c>
    </row>
    <row r="117" spans="1:5" ht="45" x14ac:dyDescent="0.25">
      <c r="A117" s="4" t="s">
        <v>316</v>
      </c>
      <c r="B117" s="2" t="s">
        <v>463</v>
      </c>
      <c r="C117" s="2" t="s">
        <v>96</v>
      </c>
      <c r="D117" s="19" t="s">
        <v>731</v>
      </c>
      <c r="E117" s="2" t="s">
        <v>899</v>
      </c>
    </row>
    <row r="118" spans="1:5" ht="45" x14ac:dyDescent="0.25">
      <c r="A118" s="4" t="s">
        <v>317</v>
      </c>
      <c r="B118" s="2" t="s">
        <v>464</v>
      </c>
      <c r="C118" s="2" t="s">
        <v>179</v>
      </c>
      <c r="D118" s="19" t="s">
        <v>743</v>
      </c>
      <c r="E118" s="2" t="s">
        <v>900</v>
      </c>
    </row>
    <row r="119" spans="1:5" ht="45" x14ac:dyDescent="0.25">
      <c r="A119" s="4" t="s">
        <v>318</v>
      </c>
      <c r="B119" s="2" t="s">
        <v>465</v>
      </c>
      <c r="C119" s="2" t="s">
        <v>97</v>
      </c>
      <c r="D119" s="19" t="s">
        <v>901</v>
      </c>
      <c r="E119" s="2" t="s">
        <v>902</v>
      </c>
    </row>
    <row r="120" spans="1:5" ht="30" x14ac:dyDescent="0.25">
      <c r="A120" s="4" t="s">
        <v>319</v>
      </c>
      <c r="B120" s="2" t="s">
        <v>466</v>
      </c>
      <c r="C120" s="2" t="s">
        <v>98</v>
      </c>
      <c r="D120" s="19" t="s">
        <v>903</v>
      </c>
      <c r="E120" s="2" t="s">
        <v>904</v>
      </c>
    </row>
    <row r="121" spans="1:5" ht="45" x14ac:dyDescent="0.25">
      <c r="A121" s="4" t="s">
        <v>320</v>
      </c>
      <c r="B121" s="2" t="s">
        <v>467</v>
      </c>
      <c r="C121" s="2" t="s">
        <v>99</v>
      </c>
      <c r="D121" s="19" t="s">
        <v>901</v>
      </c>
      <c r="E121" s="2" t="s">
        <v>905</v>
      </c>
    </row>
    <row r="122" spans="1:5" ht="30" x14ac:dyDescent="0.25">
      <c r="A122" s="4" t="s">
        <v>321</v>
      </c>
      <c r="B122" s="2" t="s">
        <v>468</v>
      </c>
      <c r="C122" s="2" t="s">
        <v>100</v>
      </c>
      <c r="D122" s="19" t="s">
        <v>906</v>
      </c>
      <c r="E122" s="2" t="s">
        <v>907</v>
      </c>
    </row>
    <row r="123" spans="1:5" ht="30" x14ac:dyDescent="0.25">
      <c r="A123" s="4" t="s">
        <v>322</v>
      </c>
      <c r="B123" s="2" t="s">
        <v>469</v>
      </c>
      <c r="C123" s="2" t="s">
        <v>56</v>
      </c>
      <c r="D123" s="19" t="s">
        <v>906</v>
      </c>
      <c r="E123" s="2" t="s">
        <v>908</v>
      </c>
    </row>
    <row r="124" spans="1:5" ht="30" x14ac:dyDescent="0.25">
      <c r="A124" s="4" t="s">
        <v>323</v>
      </c>
      <c r="B124" s="2" t="s">
        <v>470</v>
      </c>
      <c r="C124" s="2" t="s">
        <v>58</v>
      </c>
      <c r="D124" s="19" t="s">
        <v>909</v>
      </c>
      <c r="E124" s="2" t="s">
        <v>910</v>
      </c>
    </row>
    <row r="125" spans="1:5" ht="45" x14ac:dyDescent="0.25">
      <c r="A125" s="4" t="s">
        <v>324</v>
      </c>
      <c r="B125" s="2" t="s">
        <v>471</v>
      </c>
      <c r="C125" s="2" t="s">
        <v>60</v>
      </c>
      <c r="D125" s="19" t="s">
        <v>911</v>
      </c>
      <c r="E125" s="2" t="s">
        <v>912</v>
      </c>
    </row>
    <row r="126" spans="1:5" ht="30" x14ac:dyDescent="0.25">
      <c r="A126" s="4" t="s">
        <v>325</v>
      </c>
      <c r="B126" s="2" t="s">
        <v>472</v>
      </c>
      <c r="C126" s="2" t="s">
        <v>101</v>
      </c>
      <c r="D126" s="19" t="s">
        <v>775</v>
      </c>
      <c r="E126" s="2" t="s">
        <v>913</v>
      </c>
    </row>
    <row r="127" spans="1:5" ht="45" x14ac:dyDescent="0.25">
      <c r="A127" s="4" t="s">
        <v>326</v>
      </c>
      <c r="B127" s="2" t="s">
        <v>473</v>
      </c>
      <c r="C127" s="2" t="s">
        <v>103</v>
      </c>
      <c r="D127" s="19" t="s">
        <v>695</v>
      </c>
      <c r="E127" s="2" t="s">
        <v>914</v>
      </c>
    </row>
    <row r="128" spans="1:5" ht="45" x14ac:dyDescent="0.25">
      <c r="A128" s="4" t="s">
        <v>327</v>
      </c>
      <c r="B128" s="2" t="s">
        <v>474</v>
      </c>
      <c r="C128" s="2" t="s">
        <v>102</v>
      </c>
      <c r="D128" s="19" t="s">
        <v>775</v>
      </c>
      <c r="E128" s="2" t="s">
        <v>915</v>
      </c>
    </row>
    <row r="129" spans="1:5" ht="45" x14ac:dyDescent="0.25">
      <c r="A129" s="4" t="s">
        <v>328</v>
      </c>
      <c r="B129" s="2" t="s">
        <v>475</v>
      </c>
      <c r="C129" s="2" t="s">
        <v>104</v>
      </c>
      <c r="D129" s="19" t="s">
        <v>695</v>
      </c>
      <c r="E129" s="2" t="s">
        <v>916</v>
      </c>
    </row>
    <row r="130" spans="1:5" ht="30" x14ac:dyDescent="0.25">
      <c r="A130" s="4" t="s">
        <v>329</v>
      </c>
      <c r="B130" s="2" t="s">
        <v>476</v>
      </c>
      <c r="C130" s="2" t="s">
        <v>105</v>
      </c>
      <c r="D130" s="19" t="s">
        <v>917</v>
      </c>
      <c r="E130" s="2" t="s">
        <v>918</v>
      </c>
    </row>
    <row r="131" spans="1:5" ht="30" x14ac:dyDescent="0.25">
      <c r="A131" s="4" t="s">
        <v>330</v>
      </c>
      <c r="B131" s="2" t="s">
        <v>477</v>
      </c>
      <c r="C131" s="2" t="s">
        <v>106</v>
      </c>
      <c r="D131" s="19" t="s">
        <v>919</v>
      </c>
      <c r="E131" s="2" t="s">
        <v>920</v>
      </c>
    </row>
    <row r="132" spans="1:5" ht="30" x14ac:dyDescent="0.25">
      <c r="A132" s="4" t="s">
        <v>331</v>
      </c>
      <c r="B132" s="2" t="s">
        <v>478</v>
      </c>
      <c r="C132" s="2" t="s">
        <v>107</v>
      </c>
      <c r="D132" s="19" t="s">
        <v>691</v>
      </c>
      <c r="E132" s="2" t="s">
        <v>921</v>
      </c>
    </row>
    <row r="133" spans="1:5" ht="30" x14ac:dyDescent="0.25">
      <c r="A133" s="4" t="s">
        <v>332</v>
      </c>
      <c r="B133" s="2" t="s">
        <v>479</v>
      </c>
      <c r="C133" s="2" t="s">
        <v>46</v>
      </c>
      <c r="D133" s="19" t="s">
        <v>775</v>
      </c>
      <c r="E133" s="2" t="s">
        <v>922</v>
      </c>
    </row>
    <row r="134" spans="1:5" ht="30" x14ac:dyDescent="0.25">
      <c r="A134" s="4" t="s">
        <v>333</v>
      </c>
      <c r="B134" s="2" t="s">
        <v>480</v>
      </c>
      <c r="C134" s="2" t="s">
        <v>108</v>
      </c>
      <c r="D134" s="19" t="s">
        <v>695</v>
      </c>
      <c r="E134" s="2" t="s">
        <v>923</v>
      </c>
    </row>
    <row r="135" spans="1:5" ht="30" x14ac:dyDescent="0.25">
      <c r="A135" s="4" t="s">
        <v>334</v>
      </c>
      <c r="B135" s="2" t="s">
        <v>481</v>
      </c>
      <c r="C135" s="2" t="s">
        <v>48</v>
      </c>
      <c r="D135" s="19" t="s">
        <v>775</v>
      </c>
      <c r="E135" s="2" t="s">
        <v>924</v>
      </c>
    </row>
    <row r="136" spans="1:5" ht="30" x14ac:dyDescent="0.25">
      <c r="A136" s="4" t="s">
        <v>335</v>
      </c>
      <c r="B136" s="2" t="s">
        <v>482</v>
      </c>
      <c r="C136" s="2" t="s">
        <v>109</v>
      </c>
      <c r="D136" s="19" t="s">
        <v>775</v>
      </c>
      <c r="E136" s="2" t="s">
        <v>925</v>
      </c>
    </row>
    <row r="137" spans="1:5" ht="30" x14ac:dyDescent="0.25">
      <c r="A137" s="4" t="s">
        <v>336</v>
      </c>
      <c r="B137" s="2" t="s">
        <v>483</v>
      </c>
      <c r="C137" s="2" t="s">
        <v>110</v>
      </c>
      <c r="D137" s="19" t="s">
        <v>691</v>
      </c>
      <c r="E137" s="2" t="s">
        <v>926</v>
      </c>
    </row>
    <row r="138" spans="1:5" ht="45" x14ac:dyDescent="0.25">
      <c r="A138" s="4" t="s">
        <v>337</v>
      </c>
      <c r="B138" s="2" t="s">
        <v>484</v>
      </c>
      <c r="C138" s="2" t="s">
        <v>111</v>
      </c>
      <c r="D138" s="19" t="s">
        <v>689</v>
      </c>
      <c r="E138" s="2" t="s">
        <v>927</v>
      </c>
    </row>
    <row r="139" spans="1:5" ht="45" x14ac:dyDescent="0.25">
      <c r="A139" s="4" t="s">
        <v>338</v>
      </c>
      <c r="B139" s="2" t="s">
        <v>485</v>
      </c>
      <c r="C139" s="2" t="s">
        <v>186</v>
      </c>
      <c r="D139" s="19" t="s">
        <v>917</v>
      </c>
      <c r="E139" s="2" t="s">
        <v>928</v>
      </c>
    </row>
    <row r="140" spans="1:5" ht="30" x14ac:dyDescent="0.25">
      <c r="A140" s="4" t="s">
        <v>339</v>
      </c>
      <c r="B140" s="2" t="s">
        <v>486</v>
      </c>
      <c r="C140" s="2" t="s">
        <v>112</v>
      </c>
      <c r="D140" s="19" t="s">
        <v>667</v>
      </c>
      <c r="E140" s="2" t="s">
        <v>929</v>
      </c>
    </row>
    <row r="141" spans="1:5" ht="30" x14ac:dyDescent="0.25">
      <c r="A141" s="4" t="s">
        <v>340</v>
      </c>
      <c r="B141" s="2" t="s">
        <v>487</v>
      </c>
      <c r="C141" s="2" t="s">
        <v>113</v>
      </c>
      <c r="D141" s="19" t="s">
        <v>681</v>
      </c>
      <c r="E141" s="2" t="s">
        <v>930</v>
      </c>
    </row>
    <row r="142" spans="1:5" ht="45" x14ac:dyDescent="0.25">
      <c r="A142" s="4" t="s">
        <v>341</v>
      </c>
      <c r="B142" s="2" t="s">
        <v>488</v>
      </c>
      <c r="C142" s="2" t="s">
        <v>114</v>
      </c>
      <c r="D142" s="19" t="s">
        <v>643</v>
      </c>
      <c r="E142" s="2" t="s">
        <v>931</v>
      </c>
    </row>
    <row r="143" spans="1:5" ht="45" x14ac:dyDescent="0.25">
      <c r="A143" s="4" t="s">
        <v>342</v>
      </c>
      <c r="B143" s="2" t="s">
        <v>489</v>
      </c>
      <c r="C143" s="2" t="s">
        <v>115</v>
      </c>
      <c r="D143" s="19" t="s">
        <v>675</v>
      </c>
      <c r="E143" s="2" t="s">
        <v>932</v>
      </c>
    </row>
    <row r="144" spans="1:5" ht="45" x14ac:dyDescent="0.25">
      <c r="A144" s="4" t="s">
        <v>343</v>
      </c>
      <c r="B144" s="2" t="s">
        <v>490</v>
      </c>
      <c r="C144" s="2" t="s">
        <v>116</v>
      </c>
      <c r="D144" s="19" t="s">
        <v>669</v>
      </c>
      <c r="E144" s="2" t="s">
        <v>933</v>
      </c>
    </row>
    <row r="145" spans="1:5" ht="30" x14ac:dyDescent="0.25">
      <c r="A145" s="4" t="s">
        <v>344</v>
      </c>
      <c r="B145" s="2" t="s">
        <v>491</v>
      </c>
      <c r="C145" s="2" t="s">
        <v>70</v>
      </c>
      <c r="D145" s="19" t="s">
        <v>669</v>
      </c>
      <c r="E145" s="2" t="s">
        <v>934</v>
      </c>
    </row>
    <row r="146" spans="1:5" ht="30" x14ac:dyDescent="0.25">
      <c r="A146" s="4" t="s">
        <v>345</v>
      </c>
      <c r="B146" s="2" t="s">
        <v>492</v>
      </c>
      <c r="C146" s="2" t="s">
        <v>117</v>
      </c>
      <c r="D146" s="19" t="s">
        <v>665</v>
      </c>
      <c r="E146" s="2" t="s">
        <v>935</v>
      </c>
    </row>
    <row r="147" spans="1:5" ht="45" x14ac:dyDescent="0.25">
      <c r="A147" s="4" t="s">
        <v>346</v>
      </c>
      <c r="B147" s="2" t="s">
        <v>493</v>
      </c>
      <c r="C147" s="2" t="s">
        <v>118</v>
      </c>
      <c r="D147" s="19" t="s">
        <v>673</v>
      </c>
      <c r="E147" s="2" t="s">
        <v>936</v>
      </c>
    </row>
    <row r="148" spans="1:5" ht="45" x14ac:dyDescent="0.25">
      <c r="A148" s="4" t="s">
        <v>347</v>
      </c>
      <c r="B148" s="2" t="s">
        <v>494</v>
      </c>
      <c r="C148" s="2" t="s">
        <v>196</v>
      </c>
      <c r="D148" s="19" t="s">
        <v>643</v>
      </c>
      <c r="E148" s="2" t="s">
        <v>937</v>
      </c>
    </row>
    <row r="149" spans="1:5" ht="60" x14ac:dyDescent="0.25">
      <c r="A149" s="4" t="s">
        <v>348</v>
      </c>
      <c r="B149" s="2" t="s">
        <v>495</v>
      </c>
      <c r="C149" s="2" t="s">
        <v>119</v>
      </c>
      <c r="D149" s="19" t="s">
        <v>681</v>
      </c>
      <c r="E149" s="2" t="s">
        <v>938</v>
      </c>
    </row>
    <row r="150" spans="1:5" ht="60" x14ac:dyDescent="0.25">
      <c r="A150" s="4" t="s">
        <v>349</v>
      </c>
      <c r="B150" s="2" t="s">
        <v>496</v>
      </c>
      <c r="C150" s="2" t="s">
        <v>166</v>
      </c>
      <c r="D150" s="19" t="s">
        <v>639</v>
      </c>
      <c r="E150" s="2" t="s">
        <v>939</v>
      </c>
    </row>
    <row r="151" spans="1:5" ht="60" x14ac:dyDescent="0.25">
      <c r="A151" s="4" t="s">
        <v>350</v>
      </c>
      <c r="B151" s="2" t="s">
        <v>497</v>
      </c>
      <c r="C151" s="2" t="s">
        <v>168</v>
      </c>
      <c r="D151" s="19" t="s">
        <v>643</v>
      </c>
      <c r="E151" s="2" t="s">
        <v>940</v>
      </c>
    </row>
    <row r="152" spans="1:5" ht="60" x14ac:dyDescent="0.25">
      <c r="A152" s="4" t="s">
        <v>351</v>
      </c>
      <c r="B152" s="2" t="s">
        <v>498</v>
      </c>
      <c r="C152" s="2" t="s">
        <v>180</v>
      </c>
      <c r="D152" s="19" t="s">
        <v>645</v>
      </c>
      <c r="E152" s="2" t="s">
        <v>941</v>
      </c>
    </row>
    <row r="153" spans="1:5" ht="45" x14ac:dyDescent="0.25">
      <c r="A153" s="4" t="s">
        <v>352</v>
      </c>
      <c r="B153" s="2" t="s">
        <v>499</v>
      </c>
      <c r="C153" s="2" t="s">
        <v>171</v>
      </c>
      <c r="D153" s="19" t="s">
        <v>647</v>
      </c>
      <c r="E153" s="2" t="s">
        <v>942</v>
      </c>
    </row>
    <row r="154" spans="1:5" ht="60" x14ac:dyDescent="0.25">
      <c r="A154" s="4" t="s">
        <v>353</v>
      </c>
      <c r="B154" s="2" t="s">
        <v>500</v>
      </c>
      <c r="C154" s="2" t="s">
        <v>173</v>
      </c>
      <c r="D154" s="19" t="s">
        <v>649</v>
      </c>
      <c r="E154" s="2" t="s">
        <v>943</v>
      </c>
    </row>
    <row r="155" spans="1:5" ht="45" x14ac:dyDescent="0.25">
      <c r="A155" s="4" t="s">
        <v>354</v>
      </c>
      <c r="B155" s="2" t="s">
        <v>501</v>
      </c>
      <c r="C155" s="2" t="s">
        <v>188</v>
      </c>
      <c r="D155" s="19" t="s">
        <v>649</v>
      </c>
      <c r="E155" s="2" t="s">
        <v>944</v>
      </c>
    </row>
  </sheetData>
  <autoFilter ref="A1:E155" xr:uid="{B0345800-6306-45CF-BBAD-A7D51DE774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C959-F32D-4AF1-A1FF-3749704B10F1}">
  <dimension ref="A1:F66"/>
  <sheetViews>
    <sheetView workbookViewId="0">
      <selection activeCell="D12" sqref="D12"/>
    </sheetView>
  </sheetViews>
  <sheetFormatPr defaultRowHeight="15" x14ac:dyDescent="0.25"/>
  <cols>
    <col min="4" max="4" width="43" customWidth="1"/>
    <col min="5" max="5" width="45.85546875" customWidth="1"/>
    <col min="6" max="6" width="20.28515625" customWidth="1"/>
  </cols>
  <sheetData>
    <row r="1" spans="1:6" ht="30" x14ac:dyDescent="0.25">
      <c r="A1" s="16" t="s">
        <v>619</v>
      </c>
      <c r="B1" s="16" t="s">
        <v>620</v>
      </c>
      <c r="C1" s="16" t="s">
        <v>621</v>
      </c>
      <c r="D1" s="16" t="s">
        <v>622</v>
      </c>
      <c r="E1" s="16" t="s">
        <v>623</v>
      </c>
      <c r="F1" s="18" t="s">
        <v>744</v>
      </c>
    </row>
    <row r="2" spans="1:6" x14ac:dyDescent="0.25">
      <c r="A2" s="17">
        <v>1</v>
      </c>
      <c r="B2" s="17" t="s">
        <v>624</v>
      </c>
      <c r="C2" s="17" t="s">
        <v>625</v>
      </c>
      <c r="D2" s="17" t="s">
        <v>626</v>
      </c>
      <c r="E2" s="17" t="s">
        <v>627</v>
      </c>
    </row>
    <row r="3" spans="1:6" x14ac:dyDescent="0.25">
      <c r="A3" s="17">
        <v>2</v>
      </c>
      <c r="B3" s="17" t="s">
        <v>522</v>
      </c>
      <c r="C3" s="17" t="s">
        <v>628</v>
      </c>
      <c r="D3" s="17" t="s">
        <v>629</v>
      </c>
      <c r="E3" s="17" t="s">
        <v>626</v>
      </c>
    </row>
    <row r="4" spans="1:6" x14ac:dyDescent="0.25">
      <c r="A4" s="17">
        <v>3</v>
      </c>
      <c r="B4" s="17" t="s">
        <v>524</v>
      </c>
      <c r="C4" s="17" t="s">
        <v>628</v>
      </c>
      <c r="D4" s="17" t="s">
        <v>630</v>
      </c>
      <c r="E4" s="17" t="s">
        <v>626</v>
      </c>
    </row>
    <row r="5" spans="1:6" x14ac:dyDescent="0.25">
      <c r="A5" s="17">
        <v>4</v>
      </c>
      <c r="B5" s="17" t="s">
        <v>528</v>
      </c>
      <c r="C5" s="17" t="s">
        <v>628</v>
      </c>
      <c r="D5" s="17" t="s">
        <v>631</v>
      </c>
      <c r="E5" s="17" t="s">
        <v>626</v>
      </c>
    </row>
    <row r="6" spans="1:6" x14ac:dyDescent="0.25">
      <c r="A6" s="17">
        <v>5</v>
      </c>
      <c r="B6" s="17" t="s">
        <v>520</v>
      </c>
      <c r="C6" s="17" t="s">
        <v>628</v>
      </c>
      <c r="D6" s="17" t="s">
        <v>632</v>
      </c>
      <c r="E6" s="17" t="s">
        <v>626</v>
      </c>
    </row>
    <row r="7" spans="1:6" x14ac:dyDescent="0.25">
      <c r="A7" s="17">
        <v>6</v>
      </c>
      <c r="B7" s="17" t="s">
        <v>551</v>
      </c>
      <c r="C7" s="17" t="s">
        <v>628</v>
      </c>
      <c r="D7" s="17" t="s">
        <v>633</v>
      </c>
      <c r="E7" s="17" t="s">
        <v>626</v>
      </c>
    </row>
    <row r="8" spans="1:6" x14ac:dyDescent="0.25">
      <c r="A8" s="17">
        <v>7</v>
      </c>
      <c r="B8" s="17" t="s">
        <v>539</v>
      </c>
      <c r="C8" s="17" t="s">
        <v>628</v>
      </c>
      <c r="D8" s="17" t="s">
        <v>634</v>
      </c>
      <c r="E8" s="17" t="s">
        <v>626</v>
      </c>
    </row>
    <row r="9" spans="1:6" x14ac:dyDescent="0.25">
      <c r="A9" s="17">
        <v>8</v>
      </c>
      <c r="B9" s="17" t="s">
        <v>553</v>
      </c>
      <c r="C9" s="17" t="s">
        <v>628</v>
      </c>
      <c r="D9" s="17" t="s">
        <v>635</v>
      </c>
      <c r="E9" s="17" t="s">
        <v>626</v>
      </c>
    </row>
    <row r="10" spans="1:6" x14ac:dyDescent="0.25">
      <c r="A10" s="17">
        <v>9</v>
      </c>
      <c r="B10" s="17" t="s">
        <v>584</v>
      </c>
      <c r="C10" s="17" t="s">
        <v>628</v>
      </c>
      <c r="D10" s="17" t="s">
        <v>636</v>
      </c>
      <c r="E10" s="17" t="s">
        <v>626</v>
      </c>
    </row>
    <row r="11" spans="1:6" x14ac:dyDescent="0.25">
      <c r="A11" s="17">
        <v>10</v>
      </c>
      <c r="B11" s="17" t="s">
        <v>637</v>
      </c>
      <c r="C11" s="17" t="s">
        <v>638</v>
      </c>
      <c r="D11" s="17" t="s">
        <v>639</v>
      </c>
      <c r="E11" s="17" t="s">
        <v>629</v>
      </c>
    </row>
    <row r="12" spans="1:6" x14ac:dyDescent="0.25">
      <c r="A12" s="17">
        <v>11</v>
      </c>
      <c r="B12" s="17" t="s">
        <v>640</v>
      </c>
      <c r="C12" s="17" t="s">
        <v>638</v>
      </c>
      <c r="D12" s="17" t="s">
        <v>641</v>
      </c>
      <c r="E12" s="17" t="s">
        <v>629</v>
      </c>
    </row>
    <row r="13" spans="1:6" x14ac:dyDescent="0.25">
      <c r="A13" s="17">
        <v>12</v>
      </c>
      <c r="B13" s="17" t="s">
        <v>642</v>
      </c>
      <c r="C13" s="17" t="s">
        <v>638</v>
      </c>
      <c r="D13" s="17" t="s">
        <v>643</v>
      </c>
      <c r="E13" s="17" t="s">
        <v>629</v>
      </c>
    </row>
    <row r="14" spans="1:6" x14ac:dyDescent="0.25">
      <c r="A14" s="17">
        <v>13</v>
      </c>
      <c r="B14" s="17" t="s">
        <v>644</v>
      </c>
      <c r="C14" s="17" t="s">
        <v>638</v>
      </c>
      <c r="D14" s="17" t="s">
        <v>645</v>
      </c>
      <c r="E14" s="17" t="s">
        <v>629</v>
      </c>
    </row>
    <row r="15" spans="1:6" x14ac:dyDescent="0.25">
      <c r="A15" s="17">
        <v>14</v>
      </c>
      <c r="B15" s="17" t="s">
        <v>646</v>
      </c>
      <c r="C15" s="17" t="s">
        <v>638</v>
      </c>
      <c r="D15" s="17" t="s">
        <v>647</v>
      </c>
      <c r="E15" s="17" t="s">
        <v>629</v>
      </c>
    </row>
    <row r="16" spans="1:6" x14ac:dyDescent="0.25">
      <c r="A16" s="17">
        <v>15</v>
      </c>
      <c r="B16" s="17" t="s">
        <v>648</v>
      </c>
      <c r="C16" s="17" t="s">
        <v>638</v>
      </c>
      <c r="D16" s="17" t="s">
        <v>649</v>
      </c>
      <c r="E16" s="17" t="s">
        <v>629</v>
      </c>
    </row>
    <row r="17" spans="1:5" x14ac:dyDescent="0.25">
      <c r="A17" s="17">
        <v>16</v>
      </c>
      <c r="B17" s="17" t="s">
        <v>650</v>
      </c>
      <c r="C17" s="17" t="s">
        <v>638</v>
      </c>
      <c r="D17" s="17" t="s">
        <v>651</v>
      </c>
      <c r="E17" s="17" t="s">
        <v>630</v>
      </c>
    </row>
    <row r="18" spans="1:5" x14ac:dyDescent="0.25">
      <c r="A18" s="17">
        <v>17</v>
      </c>
      <c r="B18" s="17" t="s">
        <v>652</v>
      </c>
      <c r="C18" s="17" t="s">
        <v>638</v>
      </c>
      <c r="D18" s="17" t="s">
        <v>653</v>
      </c>
      <c r="E18" s="17" t="s">
        <v>630</v>
      </c>
    </row>
    <row r="19" spans="1:5" x14ac:dyDescent="0.25">
      <c r="A19" s="17">
        <v>18</v>
      </c>
      <c r="B19" s="17" t="s">
        <v>654</v>
      </c>
      <c r="C19" s="17" t="s">
        <v>638</v>
      </c>
      <c r="D19" s="17" t="s">
        <v>655</v>
      </c>
      <c r="E19" s="17" t="s">
        <v>630</v>
      </c>
    </row>
    <row r="20" spans="1:5" x14ac:dyDescent="0.25">
      <c r="A20" s="17">
        <v>19</v>
      </c>
      <c r="B20" s="17" t="s">
        <v>656</v>
      </c>
      <c r="C20" s="17" t="s">
        <v>638</v>
      </c>
      <c r="D20" s="17" t="s">
        <v>657</v>
      </c>
      <c r="E20" s="17" t="s">
        <v>630</v>
      </c>
    </row>
    <row r="21" spans="1:5" x14ac:dyDescent="0.25">
      <c r="A21" s="17">
        <v>20</v>
      </c>
      <c r="B21" s="17" t="s">
        <v>658</v>
      </c>
      <c r="C21" s="17" t="s">
        <v>638</v>
      </c>
      <c r="D21" s="17" t="s">
        <v>659</v>
      </c>
      <c r="E21" s="17" t="s">
        <v>630</v>
      </c>
    </row>
    <row r="22" spans="1:5" x14ac:dyDescent="0.25">
      <c r="A22" s="17">
        <v>21</v>
      </c>
      <c r="B22" s="17" t="s">
        <v>660</v>
      </c>
      <c r="C22" s="17" t="s">
        <v>638</v>
      </c>
      <c r="D22" s="17" t="s">
        <v>661</v>
      </c>
      <c r="E22" s="17" t="s">
        <v>630</v>
      </c>
    </row>
    <row r="23" spans="1:5" x14ac:dyDescent="0.25">
      <c r="A23" s="17">
        <v>22</v>
      </c>
      <c r="B23" s="17" t="s">
        <v>662</v>
      </c>
      <c r="C23" s="17" t="s">
        <v>638</v>
      </c>
      <c r="D23" s="17" t="s">
        <v>663</v>
      </c>
      <c r="E23" s="17" t="s">
        <v>631</v>
      </c>
    </row>
    <row r="24" spans="1:5" x14ac:dyDescent="0.25">
      <c r="A24" s="17">
        <v>23</v>
      </c>
      <c r="B24" s="17" t="s">
        <v>664</v>
      </c>
      <c r="C24" s="17" t="s">
        <v>638</v>
      </c>
      <c r="D24" s="17" t="s">
        <v>665</v>
      </c>
      <c r="E24" s="17" t="s">
        <v>631</v>
      </c>
    </row>
    <row r="25" spans="1:5" x14ac:dyDescent="0.25">
      <c r="A25" s="17">
        <v>24</v>
      </c>
      <c r="B25" s="17" t="s">
        <v>666</v>
      </c>
      <c r="C25" s="17" t="s">
        <v>638</v>
      </c>
      <c r="D25" s="17" t="s">
        <v>667</v>
      </c>
      <c r="E25" s="17" t="s">
        <v>631</v>
      </c>
    </row>
    <row r="26" spans="1:5" x14ac:dyDescent="0.25">
      <c r="A26" s="17">
        <v>25</v>
      </c>
      <c r="B26" s="17" t="s">
        <v>668</v>
      </c>
      <c r="C26" s="17" t="s">
        <v>638</v>
      </c>
      <c r="D26" s="17" t="s">
        <v>669</v>
      </c>
      <c r="E26" s="17" t="s">
        <v>631</v>
      </c>
    </row>
    <row r="27" spans="1:5" x14ac:dyDescent="0.25">
      <c r="A27" s="17">
        <v>26</v>
      </c>
      <c r="B27" s="17" t="s">
        <v>670</v>
      </c>
      <c r="C27" s="17" t="s">
        <v>638</v>
      </c>
      <c r="D27" s="17" t="s">
        <v>671</v>
      </c>
      <c r="E27" s="17" t="s">
        <v>631</v>
      </c>
    </row>
    <row r="28" spans="1:5" x14ac:dyDescent="0.25">
      <c r="A28" s="17">
        <v>27</v>
      </c>
      <c r="B28" s="17" t="s">
        <v>672</v>
      </c>
      <c r="C28" s="17" t="s">
        <v>638</v>
      </c>
      <c r="D28" s="17" t="s">
        <v>673</v>
      </c>
      <c r="E28" s="17" t="s">
        <v>631</v>
      </c>
    </row>
    <row r="29" spans="1:5" x14ac:dyDescent="0.25">
      <c r="A29" s="17">
        <v>28</v>
      </c>
      <c r="B29" s="17" t="s">
        <v>674</v>
      </c>
      <c r="C29" s="17" t="s">
        <v>638</v>
      </c>
      <c r="D29" s="17" t="s">
        <v>675</v>
      </c>
      <c r="E29" s="17" t="s">
        <v>631</v>
      </c>
    </row>
    <row r="30" spans="1:5" x14ac:dyDescent="0.25">
      <c r="A30" s="17">
        <v>29</v>
      </c>
      <c r="B30" s="17" t="s">
        <v>551</v>
      </c>
      <c r="C30" s="17" t="s">
        <v>638</v>
      </c>
      <c r="D30" s="17" t="s">
        <v>633</v>
      </c>
      <c r="E30" s="17" t="s">
        <v>631</v>
      </c>
    </row>
    <row r="31" spans="1:5" x14ac:dyDescent="0.25">
      <c r="A31" s="17">
        <v>30</v>
      </c>
      <c r="B31" s="17" t="s">
        <v>676</v>
      </c>
      <c r="C31" s="17" t="s">
        <v>638</v>
      </c>
      <c r="D31" s="17" t="s">
        <v>677</v>
      </c>
      <c r="E31" s="17" t="s">
        <v>632</v>
      </c>
    </row>
    <row r="32" spans="1:5" x14ac:dyDescent="0.25">
      <c r="A32" s="17">
        <v>31</v>
      </c>
      <c r="B32" s="17" t="s">
        <v>678</v>
      </c>
      <c r="C32" s="17" t="s">
        <v>638</v>
      </c>
      <c r="D32" s="17" t="s">
        <v>679</v>
      </c>
      <c r="E32" s="17" t="s">
        <v>632</v>
      </c>
    </row>
    <row r="33" spans="1:5" x14ac:dyDescent="0.25">
      <c r="A33" s="17">
        <v>32</v>
      </c>
      <c r="B33" s="17" t="s">
        <v>680</v>
      </c>
      <c r="C33" s="17" t="s">
        <v>638</v>
      </c>
      <c r="D33" s="17" t="s">
        <v>681</v>
      </c>
      <c r="E33" s="17" t="s">
        <v>632</v>
      </c>
    </row>
    <row r="34" spans="1:5" x14ac:dyDescent="0.25">
      <c r="A34" s="17">
        <v>33</v>
      </c>
      <c r="B34" s="17" t="s">
        <v>682</v>
      </c>
      <c r="C34" s="17" t="s">
        <v>638</v>
      </c>
      <c r="D34" s="17" t="s">
        <v>683</v>
      </c>
      <c r="E34" s="17" t="s">
        <v>632</v>
      </c>
    </row>
    <row r="35" spans="1:5" x14ac:dyDescent="0.25">
      <c r="A35" s="17">
        <v>34</v>
      </c>
      <c r="B35" s="17" t="s">
        <v>684</v>
      </c>
      <c r="C35" s="17" t="s">
        <v>638</v>
      </c>
      <c r="D35" s="17" t="s">
        <v>685</v>
      </c>
      <c r="E35" s="17" t="s">
        <v>632</v>
      </c>
    </row>
    <row r="36" spans="1:5" x14ac:dyDescent="0.25">
      <c r="A36" s="17">
        <v>35</v>
      </c>
      <c r="B36" s="17" t="s">
        <v>686</v>
      </c>
      <c r="C36" s="17" t="s">
        <v>638</v>
      </c>
      <c r="D36" s="17" t="s">
        <v>687</v>
      </c>
      <c r="E36" s="17" t="s">
        <v>632</v>
      </c>
    </row>
    <row r="37" spans="1:5" x14ac:dyDescent="0.25">
      <c r="A37" s="17">
        <v>36</v>
      </c>
      <c r="B37" s="17" t="s">
        <v>688</v>
      </c>
      <c r="C37" s="17" t="s">
        <v>638</v>
      </c>
      <c r="D37" s="17" t="s">
        <v>689</v>
      </c>
      <c r="E37" s="17" t="s">
        <v>633</v>
      </c>
    </row>
    <row r="38" spans="1:5" x14ac:dyDescent="0.25">
      <c r="A38" s="17">
        <v>37</v>
      </c>
      <c r="B38" s="17" t="s">
        <v>690</v>
      </c>
      <c r="C38" s="17" t="s">
        <v>638</v>
      </c>
      <c r="D38" s="17" t="s">
        <v>691</v>
      </c>
      <c r="E38" s="17" t="s">
        <v>633</v>
      </c>
    </row>
    <row r="39" spans="1:5" ht="30" x14ac:dyDescent="0.25">
      <c r="A39" s="17">
        <v>38</v>
      </c>
      <c r="B39" s="17" t="s">
        <v>692</v>
      </c>
      <c r="C39" s="17" t="s">
        <v>638</v>
      </c>
      <c r="D39" s="17" t="s">
        <v>693</v>
      </c>
      <c r="E39" s="17" t="s">
        <v>633</v>
      </c>
    </row>
    <row r="40" spans="1:5" x14ac:dyDescent="0.25">
      <c r="A40" s="17">
        <v>39</v>
      </c>
      <c r="B40" s="17" t="s">
        <v>694</v>
      </c>
      <c r="C40" s="17" t="s">
        <v>638</v>
      </c>
      <c r="D40" s="17" t="s">
        <v>695</v>
      </c>
      <c r="E40" s="17" t="s">
        <v>633</v>
      </c>
    </row>
    <row r="41" spans="1:5" x14ac:dyDescent="0.25">
      <c r="A41" s="17">
        <v>40</v>
      </c>
      <c r="B41" s="17" t="s">
        <v>696</v>
      </c>
      <c r="C41" s="17" t="s">
        <v>638</v>
      </c>
      <c r="D41" s="17" t="s">
        <v>697</v>
      </c>
      <c r="E41" s="17" t="s">
        <v>633</v>
      </c>
    </row>
    <row r="42" spans="1:5" x14ac:dyDescent="0.25">
      <c r="A42" s="17">
        <v>41</v>
      </c>
      <c r="B42" s="17" t="s">
        <v>698</v>
      </c>
      <c r="C42" s="17" t="s">
        <v>638</v>
      </c>
      <c r="D42" s="17" t="s">
        <v>699</v>
      </c>
      <c r="E42" s="17" t="s">
        <v>634</v>
      </c>
    </row>
    <row r="43" spans="1:5" x14ac:dyDescent="0.25">
      <c r="A43" s="17">
        <v>42</v>
      </c>
      <c r="B43" s="17" t="s">
        <v>700</v>
      </c>
      <c r="C43" s="17" t="s">
        <v>638</v>
      </c>
      <c r="D43" s="17" t="s">
        <v>701</v>
      </c>
      <c r="E43" s="17" t="s">
        <v>634</v>
      </c>
    </row>
    <row r="44" spans="1:5" x14ac:dyDescent="0.25">
      <c r="A44" s="17">
        <v>43</v>
      </c>
      <c r="B44" s="17" t="s">
        <v>702</v>
      </c>
      <c r="C44" s="17" t="s">
        <v>638</v>
      </c>
      <c r="D44" s="17" t="s">
        <v>703</v>
      </c>
      <c r="E44" s="17" t="s">
        <v>634</v>
      </c>
    </row>
    <row r="45" spans="1:5" x14ac:dyDescent="0.25">
      <c r="A45" s="17">
        <v>44</v>
      </c>
      <c r="B45" s="17" t="s">
        <v>704</v>
      </c>
      <c r="C45" s="17" t="s">
        <v>638</v>
      </c>
      <c r="D45" s="17" t="s">
        <v>705</v>
      </c>
      <c r="E45" s="17" t="s">
        <v>634</v>
      </c>
    </row>
    <row r="46" spans="1:5" x14ac:dyDescent="0.25">
      <c r="A46" s="17">
        <v>45</v>
      </c>
      <c r="B46" s="17" t="s">
        <v>706</v>
      </c>
      <c r="C46" s="17" t="s">
        <v>638</v>
      </c>
      <c r="D46" s="17" t="s">
        <v>707</v>
      </c>
      <c r="E46" s="17" t="s">
        <v>634</v>
      </c>
    </row>
    <row r="47" spans="1:5" x14ac:dyDescent="0.25">
      <c r="A47" s="17">
        <v>46</v>
      </c>
      <c r="B47" s="17" t="s">
        <v>708</v>
      </c>
      <c r="C47" s="17" t="s">
        <v>638</v>
      </c>
      <c r="D47" s="17" t="s">
        <v>709</v>
      </c>
      <c r="E47" s="17" t="s">
        <v>635</v>
      </c>
    </row>
    <row r="48" spans="1:5" x14ac:dyDescent="0.25">
      <c r="A48" s="17">
        <v>47</v>
      </c>
      <c r="B48" s="17" t="s">
        <v>710</v>
      </c>
      <c r="C48" s="17" t="s">
        <v>638</v>
      </c>
      <c r="D48" s="17" t="s">
        <v>711</v>
      </c>
      <c r="E48" s="17" t="s">
        <v>635</v>
      </c>
    </row>
    <row r="49" spans="1:5" x14ac:dyDescent="0.25">
      <c r="A49" s="17">
        <v>48</v>
      </c>
      <c r="B49" s="17" t="s">
        <v>712</v>
      </c>
      <c r="C49" s="17" t="s">
        <v>638</v>
      </c>
      <c r="D49" s="17" t="s">
        <v>713</v>
      </c>
      <c r="E49" s="17" t="s">
        <v>635</v>
      </c>
    </row>
    <row r="50" spans="1:5" x14ac:dyDescent="0.25">
      <c r="A50" s="17">
        <v>49</v>
      </c>
      <c r="B50" s="17" t="s">
        <v>714</v>
      </c>
      <c r="C50" s="17" t="s">
        <v>638</v>
      </c>
      <c r="D50" s="17" t="s">
        <v>715</v>
      </c>
      <c r="E50" s="17" t="s">
        <v>635</v>
      </c>
    </row>
    <row r="51" spans="1:5" x14ac:dyDescent="0.25">
      <c r="A51" s="17">
        <v>50</v>
      </c>
      <c r="B51" s="17" t="s">
        <v>716</v>
      </c>
      <c r="C51" s="17" t="s">
        <v>638</v>
      </c>
      <c r="D51" s="17" t="s">
        <v>717</v>
      </c>
      <c r="E51" s="17" t="s">
        <v>635</v>
      </c>
    </row>
    <row r="52" spans="1:5" x14ac:dyDescent="0.25">
      <c r="A52" s="17">
        <v>51</v>
      </c>
      <c r="B52" s="17" t="s">
        <v>718</v>
      </c>
      <c r="C52" s="17" t="s">
        <v>638</v>
      </c>
      <c r="D52" s="17" t="s">
        <v>719</v>
      </c>
      <c r="E52" s="17" t="s">
        <v>635</v>
      </c>
    </row>
    <row r="53" spans="1:5" x14ac:dyDescent="0.25">
      <c r="A53" s="17">
        <v>52</v>
      </c>
      <c r="B53" s="17" t="s">
        <v>720</v>
      </c>
      <c r="C53" s="17" t="s">
        <v>638</v>
      </c>
      <c r="D53" s="17" t="s">
        <v>721</v>
      </c>
      <c r="E53" s="17" t="s">
        <v>635</v>
      </c>
    </row>
    <row r="54" spans="1:5" x14ac:dyDescent="0.25">
      <c r="A54" s="17">
        <v>53</v>
      </c>
      <c r="B54" s="17" t="s">
        <v>722</v>
      </c>
      <c r="C54" s="17" t="s">
        <v>638</v>
      </c>
      <c r="D54" s="17" t="s">
        <v>723</v>
      </c>
      <c r="E54" s="17" t="s">
        <v>635</v>
      </c>
    </row>
    <row r="55" spans="1:5" x14ac:dyDescent="0.25">
      <c r="A55" s="17">
        <v>54</v>
      </c>
      <c r="B55" s="17" t="s">
        <v>724</v>
      </c>
      <c r="C55" s="17" t="s">
        <v>638</v>
      </c>
      <c r="D55" s="17" t="s">
        <v>725</v>
      </c>
      <c r="E55" s="17" t="s">
        <v>635</v>
      </c>
    </row>
    <row r="56" spans="1:5" x14ac:dyDescent="0.25">
      <c r="A56" s="17">
        <v>55</v>
      </c>
      <c r="B56" s="17" t="s">
        <v>726</v>
      </c>
      <c r="C56" s="17" t="s">
        <v>638</v>
      </c>
      <c r="D56" s="17" t="s">
        <v>727</v>
      </c>
      <c r="E56" s="17" t="s">
        <v>636</v>
      </c>
    </row>
    <row r="57" spans="1:5" x14ac:dyDescent="0.25">
      <c r="A57" s="17">
        <v>56</v>
      </c>
      <c r="B57" s="17" t="s">
        <v>728</v>
      </c>
      <c r="C57" s="17" t="s">
        <v>638</v>
      </c>
      <c r="D57" s="17" t="s">
        <v>729</v>
      </c>
      <c r="E57" s="17" t="s">
        <v>636</v>
      </c>
    </row>
    <row r="58" spans="1:5" x14ac:dyDescent="0.25">
      <c r="A58" s="17">
        <v>57</v>
      </c>
      <c r="B58" s="17" t="s">
        <v>730</v>
      </c>
      <c r="C58" s="17" t="s">
        <v>638</v>
      </c>
      <c r="D58" s="17" t="s">
        <v>731</v>
      </c>
      <c r="E58" s="17" t="s">
        <v>636</v>
      </c>
    </row>
    <row r="59" spans="1:5" x14ac:dyDescent="0.25">
      <c r="A59" s="17">
        <v>58</v>
      </c>
      <c r="B59" s="17" t="s">
        <v>732</v>
      </c>
      <c r="C59" s="17" t="s">
        <v>638</v>
      </c>
      <c r="D59" s="17" t="s">
        <v>733</v>
      </c>
      <c r="E59" s="17" t="s">
        <v>636</v>
      </c>
    </row>
    <row r="60" spans="1:5" x14ac:dyDescent="0.25">
      <c r="A60" s="17">
        <v>59</v>
      </c>
      <c r="B60" s="17" t="s">
        <v>734</v>
      </c>
      <c r="C60" s="17" t="s">
        <v>638</v>
      </c>
      <c r="D60" s="17" t="s">
        <v>735</v>
      </c>
      <c r="E60" s="17" t="s">
        <v>636</v>
      </c>
    </row>
    <row r="61" spans="1:5" x14ac:dyDescent="0.25">
      <c r="A61" s="17">
        <v>60</v>
      </c>
      <c r="B61" s="17" t="s">
        <v>736</v>
      </c>
      <c r="C61" s="17" t="s">
        <v>638</v>
      </c>
      <c r="D61" s="17" t="s">
        <v>737</v>
      </c>
      <c r="E61" s="17" t="s">
        <v>636</v>
      </c>
    </row>
    <row r="62" spans="1:5" ht="30" x14ac:dyDescent="0.25">
      <c r="A62" s="17">
        <v>61</v>
      </c>
      <c r="B62" s="17" t="s">
        <v>738</v>
      </c>
      <c r="C62" s="17" t="s">
        <v>638</v>
      </c>
      <c r="D62" s="17" t="s">
        <v>739</v>
      </c>
      <c r="E62" s="17" t="s">
        <v>636</v>
      </c>
    </row>
    <row r="63" spans="1:5" x14ac:dyDescent="0.25">
      <c r="A63" s="17">
        <v>62</v>
      </c>
      <c r="B63" s="17" t="s">
        <v>740</v>
      </c>
      <c r="C63" s="17" t="s">
        <v>638</v>
      </c>
      <c r="D63" s="17" t="s">
        <v>741</v>
      </c>
      <c r="E63" s="17" t="s">
        <v>636</v>
      </c>
    </row>
    <row r="64" spans="1:5" x14ac:dyDescent="0.25">
      <c r="A64" s="17">
        <v>63</v>
      </c>
      <c r="B64" s="17" t="s">
        <v>742</v>
      </c>
      <c r="C64" s="17" t="s">
        <v>638</v>
      </c>
      <c r="D64" s="17" t="s">
        <v>743</v>
      </c>
      <c r="E64" s="17" t="s">
        <v>636</v>
      </c>
    </row>
    <row r="65" spans="1:1" x14ac:dyDescent="0.25">
      <c r="A65" t="s">
        <v>624</v>
      </c>
    </row>
    <row r="66" spans="1:1" x14ac:dyDescent="0.25">
      <c r="A66" t="s">
        <v>624</v>
      </c>
    </row>
  </sheetData>
  <conditionalFormatting sqref="F1 A1:E66">
    <cfRule type="containsText" dxfId="1" priority="1" operator="containsText" text="pass">
      <formula>NOT(ISERROR(SEARCH("pass",A1)))</formula>
    </cfRule>
    <cfRule type="containsText" dxfId="0" priority="2" operator="containsText" text="fail">
      <formula>NOT(ISERROR(SEARCH("fail",A1)))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DA71-DFE0-4DC8-A8F8-DAF2AB9099A6}">
  <sheetPr filterMode="1"/>
  <dimension ref="A2:D94"/>
  <sheetViews>
    <sheetView workbookViewId="0">
      <selection activeCell="B2" sqref="B2"/>
    </sheetView>
  </sheetViews>
  <sheetFormatPr defaultRowHeight="15" x14ac:dyDescent="0.25"/>
  <cols>
    <col min="2" max="2" width="59.42578125" customWidth="1"/>
    <col min="3" max="3" width="26.85546875" customWidth="1"/>
    <col min="7" max="7" width="9.140625" customWidth="1"/>
  </cols>
  <sheetData>
    <row r="2" spans="1:4" ht="57" x14ac:dyDescent="0.25">
      <c r="A2" s="14" t="s">
        <v>201</v>
      </c>
      <c r="B2" s="5" t="s">
        <v>949</v>
      </c>
      <c r="C2" s="15" t="s">
        <v>515</v>
      </c>
      <c r="D2" s="15" t="s">
        <v>516</v>
      </c>
    </row>
    <row r="3" spans="1:4" ht="42.75" hidden="1" x14ac:dyDescent="0.25">
      <c r="A3" s="14" t="s">
        <v>202</v>
      </c>
      <c r="B3" t="s">
        <v>517</v>
      </c>
      <c r="C3" s="15" t="s">
        <v>518</v>
      </c>
      <c r="D3" s="14" t="s">
        <v>519</v>
      </c>
    </row>
    <row r="4" spans="1:4" ht="42.75" x14ac:dyDescent="0.25">
      <c r="A4" s="14" t="s">
        <v>203</v>
      </c>
      <c r="B4" t="s">
        <v>950</v>
      </c>
      <c r="C4" s="15" t="s">
        <v>521</v>
      </c>
      <c r="D4" s="15" t="s">
        <v>516</v>
      </c>
    </row>
    <row r="5" spans="1:4" ht="42.75" x14ac:dyDescent="0.25">
      <c r="A5" s="14" t="s">
        <v>204</v>
      </c>
      <c r="B5" t="s">
        <v>947</v>
      </c>
      <c r="C5" s="15" t="s">
        <v>523</v>
      </c>
      <c r="D5" s="15" t="s">
        <v>516</v>
      </c>
    </row>
    <row r="6" spans="1:4" ht="42.75" x14ac:dyDescent="0.25">
      <c r="A6" s="14" t="s">
        <v>205</v>
      </c>
      <c r="B6" t="s">
        <v>948</v>
      </c>
      <c r="C6" s="15" t="s">
        <v>525</v>
      </c>
      <c r="D6" s="15" t="s">
        <v>516</v>
      </c>
    </row>
    <row r="7" spans="1:4" ht="42.75" x14ac:dyDescent="0.25">
      <c r="A7" s="14" t="s">
        <v>206</v>
      </c>
      <c r="B7" t="s">
        <v>948</v>
      </c>
      <c r="C7" s="15" t="s">
        <v>526</v>
      </c>
      <c r="D7" s="15" t="s">
        <v>516</v>
      </c>
    </row>
    <row r="8" spans="1:4" ht="30" x14ac:dyDescent="0.25">
      <c r="A8" s="14" t="s">
        <v>207</v>
      </c>
      <c r="B8" s="5" t="s">
        <v>951</v>
      </c>
      <c r="C8" s="15" t="s">
        <v>527</v>
      </c>
      <c r="D8" s="15" t="s">
        <v>516</v>
      </c>
    </row>
    <row r="9" spans="1:4" ht="28.5" x14ac:dyDescent="0.25">
      <c r="A9" s="14" t="s">
        <v>208</v>
      </c>
      <c r="B9" t="s">
        <v>952</v>
      </c>
      <c r="C9" s="15" t="s">
        <v>529</v>
      </c>
      <c r="D9" s="15" t="s">
        <v>516</v>
      </c>
    </row>
    <row r="10" spans="1:4" ht="42.75" x14ac:dyDescent="0.25">
      <c r="A10" s="14" t="s">
        <v>209</v>
      </c>
      <c r="B10" t="s">
        <v>948</v>
      </c>
      <c r="C10" s="15" t="s">
        <v>530</v>
      </c>
      <c r="D10" s="15" t="s">
        <v>516</v>
      </c>
    </row>
    <row r="11" spans="1:4" ht="42.75" x14ac:dyDescent="0.25">
      <c r="A11" s="14" t="s">
        <v>210</v>
      </c>
      <c r="B11" t="s">
        <v>947</v>
      </c>
      <c r="C11" s="15" t="s">
        <v>531</v>
      </c>
      <c r="D11" s="15" t="s">
        <v>516</v>
      </c>
    </row>
    <row r="12" spans="1:4" ht="42.75" x14ac:dyDescent="0.25">
      <c r="A12" s="14" t="s">
        <v>211</v>
      </c>
      <c r="B12" t="s">
        <v>948</v>
      </c>
      <c r="C12" s="15" t="s">
        <v>532</v>
      </c>
      <c r="D12" s="15" t="s">
        <v>516</v>
      </c>
    </row>
    <row r="13" spans="1:4" ht="28.5" x14ac:dyDescent="0.25">
      <c r="A13" s="14" t="s">
        <v>212</v>
      </c>
      <c r="B13" t="s">
        <v>952</v>
      </c>
      <c r="C13" s="15" t="s">
        <v>533</v>
      </c>
      <c r="D13" s="15" t="s">
        <v>516</v>
      </c>
    </row>
    <row r="14" spans="1:4" ht="28.5" x14ac:dyDescent="0.25">
      <c r="A14" s="14" t="s">
        <v>213</v>
      </c>
      <c r="B14" t="s">
        <v>952</v>
      </c>
      <c r="C14" s="15" t="s">
        <v>534</v>
      </c>
      <c r="D14" s="15" t="s">
        <v>516</v>
      </c>
    </row>
    <row r="15" spans="1:4" ht="28.5" x14ac:dyDescent="0.25">
      <c r="A15" s="14" t="s">
        <v>214</v>
      </c>
      <c r="B15" t="s">
        <v>947</v>
      </c>
      <c r="C15" s="15" t="s">
        <v>535</v>
      </c>
      <c r="D15" s="15" t="s">
        <v>516</v>
      </c>
    </row>
    <row r="16" spans="1:4" ht="28.5" x14ac:dyDescent="0.25">
      <c r="A16" s="14" t="s">
        <v>215</v>
      </c>
      <c r="B16" t="s">
        <v>948</v>
      </c>
      <c r="C16" s="15" t="s">
        <v>536</v>
      </c>
      <c r="D16" s="15" t="s">
        <v>516</v>
      </c>
    </row>
    <row r="17" spans="1:4" ht="42.75" x14ac:dyDescent="0.25">
      <c r="A17" s="14" t="s">
        <v>216</v>
      </c>
      <c r="B17" t="s">
        <v>948</v>
      </c>
      <c r="C17" s="15" t="s">
        <v>537</v>
      </c>
      <c r="D17" s="15" t="s">
        <v>516</v>
      </c>
    </row>
    <row r="18" spans="1:4" ht="28.5" x14ac:dyDescent="0.25">
      <c r="A18" s="14" t="s">
        <v>217</v>
      </c>
      <c r="B18" t="s">
        <v>948</v>
      </c>
      <c r="C18" s="15" t="s">
        <v>538</v>
      </c>
      <c r="D18" s="15" t="s">
        <v>516</v>
      </c>
    </row>
    <row r="19" spans="1:4" ht="42.75" x14ac:dyDescent="0.25">
      <c r="A19" s="14" t="s">
        <v>218</v>
      </c>
      <c r="B19" t="s">
        <v>953</v>
      </c>
      <c r="C19" s="15" t="s">
        <v>540</v>
      </c>
      <c r="D19" s="15" t="s">
        <v>516</v>
      </c>
    </row>
    <row r="20" spans="1:4" ht="42.75" x14ac:dyDescent="0.25">
      <c r="A20" s="14" t="s">
        <v>219</v>
      </c>
      <c r="B20" t="s">
        <v>953</v>
      </c>
      <c r="C20" s="15" t="s">
        <v>541</v>
      </c>
      <c r="D20" s="15" t="s">
        <v>516</v>
      </c>
    </row>
    <row r="21" spans="1:4" ht="28.5" x14ac:dyDescent="0.25">
      <c r="A21" s="14" t="s">
        <v>220</v>
      </c>
      <c r="B21" t="s">
        <v>953</v>
      </c>
      <c r="C21" s="15" t="s">
        <v>542</v>
      </c>
      <c r="D21" s="15" t="s">
        <v>516</v>
      </c>
    </row>
    <row r="22" spans="1:4" ht="28.5" x14ac:dyDescent="0.25">
      <c r="A22" s="14" t="s">
        <v>221</v>
      </c>
      <c r="B22" t="s">
        <v>953</v>
      </c>
      <c r="C22" s="15" t="s">
        <v>543</v>
      </c>
      <c r="D22" s="15" t="s">
        <v>516</v>
      </c>
    </row>
    <row r="23" spans="1:4" ht="28.5" x14ac:dyDescent="0.25">
      <c r="A23" s="14" t="s">
        <v>222</v>
      </c>
      <c r="B23" t="s">
        <v>953</v>
      </c>
      <c r="C23" s="15" t="s">
        <v>544</v>
      </c>
      <c r="D23" s="15" t="s">
        <v>516</v>
      </c>
    </row>
    <row r="24" spans="1:4" ht="28.5" x14ac:dyDescent="0.25">
      <c r="A24" s="14" t="s">
        <v>223</v>
      </c>
      <c r="B24" t="s">
        <v>953</v>
      </c>
      <c r="C24" s="15" t="s">
        <v>545</v>
      </c>
      <c r="D24" s="15" t="s">
        <v>516</v>
      </c>
    </row>
    <row r="25" spans="1:4" ht="42.75" x14ac:dyDescent="0.25">
      <c r="A25" s="14" t="s">
        <v>224</v>
      </c>
      <c r="B25" t="s">
        <v>953</v>
      </c>
      <c r="C25" s="15" t="s">
        <v>546</v>
      </c>
      <c r="D25" s="15" t="s">
        <v>516</v>
      </c>
    </row>
    <row r="26" spans="1:4" ht="42.75" x14ac:dyDescent="0.25">
      <c r="A26" s="14" t="s">
        <v>225</v>
      </c>
      <c r="B26" t="s">
        <v>953</v>
      </c>
      <c r="C26" s="15" t="s">
        <v>547</v>
      </c>
      <c r="D26" s="15" t="s">
        <v>516</v>
      </c>
    </row>
    <row r="27" spans="1:4" ht="28.5" x14ac:dyDescent="0.25">
      <c r="A27" s="14" t="s">
        <v>226</v>
      </c>
      <c r="B27" t="s">
        <v>953</v>
      </c>
      <c r="C27" s="15" t="s">
        <v>548</v>
      </c>
      <c r="D27" s="15" t="s">
        <v>516</v>
      </c>
    </row>
    <row r="28" spans="1:4" ht="42.75" x14ac:dyDescent="0.25">
      <c r="A28" s="14" t="s">
        <v>227</v>
      </c>
      <c r="B28" t="s">
        <v>953</v>
      </c>
      <c r="C28" s="15" t="s">
        <v>549</v>
      </c>
      <c r="D28" s="15" t="s">
        <v>516</v>
      </c>
    </row>
    <row r="29" spans="1:4" ht="28.5" x14ac:dyDescent="0.25">
      <c r="A29" s="14" t="s">
        <v>228</v>
      </c>
      <c r="B29" t="s">
        <v>953</v>
      </c>
      <c r="C29" s="15" t="s">
        <v>550</v>
      </c>
      <c r="D29" s="15" t="s">
        <v>516</v>
      </c>
    </row>
    <row r="30" spans="1:4" ht="42.75" x14ac:dyDescent="0.25">
      <c r="A30" s="14" t="s">
        <v>229</v>
      </c>
      <c r="B30" t="s">
        <v>954</v>
      </c>
      <c r="C30" s="15" t="s">
        <v>552</v>
      </c>
      <c r="D30" s="15" t="s">
        <v>516</v>
      </c>
    </row>
    <row r="31" spans="1:4" ht="28.5" x14ac:dyDescent="0.25">
      <c r="A31" s="14" t="s">
        <v>230</v>
      </c>
      <c r="B31" t="s">
        <v>955</v>
      </c>
      <c r="C31" s="15" t="s">
        <v>554</v>
      </c>
      <c r="D31" s="15" t="s">
        <v>516</v>
      </c>
    </row>
    <row r="32" spans="1:4" ht="28.5" x14ac:dyDescent="0.25">
      <c r="A32" s="14" t="s">
        <v>231</v>
      </c>
      <c r="B32" t="s">
        <v>954</v>
      </c>
      <c r="C32" s="15" t="s">
        <v>555</v>
      </c>
      <c r="D32" s="15" t="s">
        <v>516</v>
      </c>
    </row>
    <row r="33" spans="1:4" ht="28.5" x14ac:dyDescent="0.25">
      <c r="A33" s="14" t="s">
        <v>232</v>
      </c>
      <c r="B33" t="s">
        <v>954</v>
      </c>
      <c r="C33" s="15" t="s">
        <v>556</v>
      </c>
      <c r="D33" s="15" t="s">
        <v>516</v>
      </c>
    </row>
    <row r="34" spans="1:4" ht="28.5" x14ac:dyDescent="0.25">
      <c r="A34" s="14" t="s">
        <v>233</v>
      </c>
      <c r="B34" t="s">
        <v>954</v>
      </c>
      <c r="C34" s="15" t="s">
        <v>557</v>
      </c>
      <c r="D34" s="15" t="s">
        <v>516</v>
      </c>
    </row>
    <row r="35" spans="1:4" ht="28.5" x14ac:dyDescent="0.25">
      <c r="A35" s="14" t="s">
        <v>234</v>
      </c>
      <c r="B35" t="s">
        <v>954</v>
      </c>
      <c r="C35" s="15" t="s">
        <v>558</v>
      </c>
      <c r="D35" s="15" t="s">
        <v>516</v>
      </c>
    </row>
    <row r="36" spans="1:4" ht="28.5" x14ac:dyDescent="0.25">
      <c r="A36" s="14" t="s">
        <v>235</v>
      </c>
      <c r="B36" t="s">
        <v>955</v>
      </c>
      <c r="C36" s="15" t="s">
        <v>559</v>
      </c>
      <c r="D36" s="15" t="s">
        <v>516</v>
      </c>
    </row>
    <row r="37" spans="1:4" ht="28.5" x14ac:dyDescent="0.25">
      <c r="A37" s="14" t="s">
        <v>236</v>
      </c>
      <c r="B37" t="s">
        <v>955</v>
      </c>
      <c r="C37" s="15" t="s">
        <v>560</v>
      </c>
      <c r="D37" s="15" t="s">
        <v>516</v>
      </c>
    </row>
    <row r="38" spans="1:4" ht="28.5" x14ac:dyDescent="0.25">
      <c r="A38" s="14" t="s">
        <v>237</v>
      </c>
      <c r="B38" t="s">
        <v>955</v>
      </c>
      <c r="C38" s="15" t="s">
        <v>561</v>
      </c>
      <c r="D38" s="15" t="s">
        <v>516</v>
      </c>
    </row>
    <row r="39" spans="1:4" ht="28.5" x14ac:dyDescent="0.25">
      <c r="A39" s="14" t="s">
        <v>238</v>
      </c>
      <c r="B39" t="s">
        <v>955</v>
      </c>
      <c r="C39" s="15" t="s">
        <v>562</v>
      </c>
      <c r="D39" s="15" t="s">
        <v>516</v>
      </c>
    </row>
    <row r="40" spans="1:4" ht="28.5" x14ac:dyDescent="0.25">
      <c r="A40" s="14" t="s">
        <v>239</v>
      </c>
      <c r="B40" t="s">
        <v>955</v>
      </c>
      <c r="C40" s="15" t="s">
        <v>563</v>
      </c>
      <c r="D40" s="15" t="s">
        <v>516</v>
      </c>
    </row>
    <row r="41" spans="1:4" ht="28.5" x14ac:dyDescent="0.25">
      <c r="A41" s="14" t="s">
        <v>240</v>
      </c>
      <c r="B41" t="s">
        <v>955</v>
      </c>
      <c r="C41" s="15" t="s">
        <v>564</v>
      </c>
      <c r="D41" s="15" t="s">
        <v>516</v>
      </c>
    </row>
    <row r="42" spans="1:4" ht="28.5" x14ac:dyDescent="0.25">
      <c r="A42" s="14" t="s">
        <v>241</v>
      </c>
      <c r="B42" t="s">
        <v>955</v>
      </c>
      <c r="C42" s="15" t="s">
        <v>565</v>
      </c>
      <c r="D42" s="15" t="s">
        <v>516</v>
      </c>
    </row>
    <row r="43" spans="1:4" ht="28.5" x14ac:dyDescent="0.25">
      <c r="A43" s="14" t="s">
        <v>242</v>
      </c>
      <c r="B43" t="s">
        <v>955</v>
      </c>
      <c r="C43" s="15" t="s">
        <v>566</v>
      </c>
      <c r="D43" s="15" t="s">
        <v>516</v>
      </c>
    </row>
    <row r="44" spans="1:4" ht="28.5" x14ac:dyDescent="0.25">
      <c r="A44" s="14" t="s">
        <v>243</v>
      </c>
      <c r="B44" t="s">
        <v>955</v>
      </c>
      <c r="C44" s="15" t="s">
        <v>567</v>
      </c>
      <c r="D44" s="15" t="s">
        <v>516</v>
      </c>
    </row>
    <row r="45" spans="1:4" ht="45" x14ac:dyDescent="0.25">
      <c r="A45" s="14" t="s">
        <v>262</v>
      </c>
      <c r="B45" s="5" t="s">
        <v>956</v>
      </c>
      <c r="C45" s="15" t="s">
        <v>568</v>
      </c>
      <c r="D45" s="15" t="s">
        <v>516</v>
      </c>
    </row>
    <row r="46" spans="1:4" ht="28.5" x14ac:dyDescent="0.25">
      <c r="A46" s="14" t="s">
        <v>263</v>
      </c>
      <c r="B46" t="s">
        <v>950</v>
      </c>
      <c r="C46" s="15" t="s">
        <v>569</v>
      </c>
      <c r="D46" s="15" t="s">
        <v>516</v>
      </c>
    </row>
    <row r="47" spans="1:4" ht="28.5" x14ac:dyDescent="0.25">
      <c r="A47" s="14" t="s">
        <v>264</v>
      </c>
      <c r="B47" t="s">
        <v>950</v>
      </c>
      <c r="C47" s="15" t="s">
        <v>570</v>
      </c>
      <c r="D47" s="15" t="s">
        <v>516</v>
      </c>
    </row>
    <row r="48" spans="1:4" ht="28.5" x14ac:dyDescent="0.25">
      <c r="A48" s="14" t="s">
        <v>265</v>
      </c>
      <c r="B48" t="s">
        <v>950</v>
      </c>
      <c r="C48" s="15" t="s">
        <v>571</v>
      </c>
      <c r="D48" s="15" t="s">
        <v>516</v>
      </c>
    </row>
    <row r="49" spans="1:4" ht="28.5" x14ac:dyDescent="0.25">
      <c r="A49" s="14" t="s">
        <v>266</v>
      </c>
      <c r="B49" t="s">
        <v>950</v>
      </c>
      <c r="C49" s="15" t="s">
        <v>572</v>
      </c>
      <c r="D49" s="15" t="s">
        <v>516</v>
      </c>
    </row>
    <row r="50" spans="1:4" ht="28.5" x14ac:dyDescent="0.25">
      <c r="A50" s="14" t="s">
        <v>267</v>
      </c>
      <c r="B50" t="s">
        <v>947</v>
      </c>
      <c r="C50" s="15" t="s">
        <v>573</v>
      </c>
      <c r="D50" s="15" t="s">
        <v>516</v>
      </c>
    </row>
    <row r="51" spans="1:4" ht="28.5" x14ac:dyDescent="0.25">
      <c r="A51" s="14" t="s">
        <v>268</v>
      </c>
      <c r="B51" t="s">
        <v>950</v>
      </c>
      <c r="C51" s="15" t="s">
        <v>574</v>
      </c>
      <c r="D51" s="15" t="s">
        <v>516</v>
      </c>
    </row>
    <row r="52" spans="1:4" ht="28.5" x14ac:dyDescent="0.25">
      <c r="A52" s="14" t="s">
        <v>269</v>
      </c>
      <c r="B52" t="s">
        <v>950</v>
      </c>
      <c r="C52" s="15" t="s">
        <v>575</v>
      </c>
      <c r="D52" s="15" t="s">
        <v>516</v>
      </c>
    </row>
    <row r="53" spans="1:4" ht="28.5" x14ac:dyDescent="0.25">
      <c r="A53" s="14" t="s">
        <v>270</v>
      </c>
      <c r="B53" t="s">
        <v>952</v>
      </c>
      <c r="C53" s="15" t="s">
        <v>576</v>
      </c>
      <c r="D53" s="15" t="s">
        <v>516</v>
      </c>
    </row>
    <row r="54" spans="1:4" ht="42.75" hidden="1" x14ac:dyDescent="0.25">
      <c r="A54" s="14" t="s">
        <v>271</v>
      </c>
      <c r="B54" t="s">
        <v>517</v>
      </c>
      <c r="C54" s="15" t="s">
        <v>577</v>
      </c>
      <c r="D54" s="14" t="s">
        <v>519</v>
      </c>
    </row>
    <row r="55" spans="1:4" ht="28.5" hidden="1" x14ac:dyDescent="0.25">
      <c r="A55" s="14" t="s">
        <v>272</v>
      </c>
      <c r="B55" t="s">
        <v>517</v>
      </c>
      <c r="C55" s="15" t="s">
        <v>578</v>
      </c>
      <c r="D55" s="14" t="s">
        <v>519</v>
      </c>
    </row>
    <row r="56" spans="1:4" ht="28.5" hidden="1" x14ac:dyDescent="0.25">
      <c r="A56" s="14" t="s">
        <v>273</v>
      </c>
      <c r="B56" t="s">
        <v>517</v>
      </c>
      <c r="C56" s="15" t="s">
        <v>579</v>
      </c>
      <c r="D56" s="14" t="s">
        <v>519</v>
      </c>
    </row>
    <row r="57" spans="1:4" ht="28.5" hidden="1" x14ac:dyDescent="0.25">
      <c r="A57" s="14" t="s">
        <v>274</v>
      </c>
      <c r="B57" t="s">
        <v>517</v>
      </c>
      <c r="C57" s="15" t="s">
        <v>580</v>
      </c>
      <c r="D57" s="14" t="s">
        <v>519</v>
      </c>
    </row>
    <row r="58" spans="1:4" ht="28.5" x14ac:dyDescent="0.25">
      <c r="A58" s="14" t="s">
        <v>275</v>
      </c>
      <c r="B58" t="s">
        <v>950</v>
      </c>
      <c r="C58" s="15" t="s">
        <v>581</v>
      </c>
      <c r="D58" s="15" t="s">
        <v>516</v>
      </c>
    </row>
    <row r="59" spans="1:4" ht="28.5" x14ac:dyDescent="0.25">
      <c r="A59" s="14" t="s">
        <v>276</v>
      </c>
      <c r="B59" t="s">
        <v>950</v>
      </c>
      <c r="C59" s="15" t="s">
        <v>582</v>
      </c>
      <c r="D59" s="15" t="s">
        <v>516</v>
      </c>
    </row>
    <row r="60" spans="1:4" ht="28.5" hidden="1" x14ac:dyDescent="0.25">
      <c r="A60" s="14" t="s">
        <v>277</v>
      </c>
      <c r="B60" t="s">
        <v>517</v>
      </c>
      <c r="C60" s="15" t="s">
        <v>583</v>
      </c>
      <c r="D60" s="14" t="s">
        <v>519</v>
      </c>
    </row>
    <row r="61" spans="1:4" ht="28.5" x14ac:dyDescent="0.25">
      <c r="A61" s="14" t="s">
        <v>303</v>
      </c>
      <c r="B61" t="s">
        <v>957</v>
      </c>
      <c r="C61" s="15" t="s">
        <v>585</v>
      </c>
      <c r="D61" s="15" t="s">
        <v>516</v>
      </c>
    </row>
    <row r="62" spans="1:4" ht="28.5" x14ac:dyDescent="0.25">
      <c r="A62" s="14" t="s">
        <v>304</v>
      </c>
      <c r="B62" t="s">
        <v>957</v>
      </c>
      <c r="C62" s="15" t="s">
        <v>586</v>
      </c>
      <c r="D62" s="15" t="s">
        <v>516</v>
      </c>
    </row>
    <row r="63" spans="1:4" ht="28.5" x14ac:dyDescent="0.25">
      <c r="A63" s="14" t="s">
        <v>305</v>
      </c>
      <c r="B63" t="s">
        <v>957</v>
      </c>
      <c r="C63" s="15" t="s">
        <v>587</v>
      </c>
      <c r="D63" s="15" t="s">
        <v>516</v>
      </c>
    </row>
    <row r="64" spans="1:4" ht="28.5" x14ac:dyDescent="0.25">
      <c r="A64" s="14" t="s">
        <v>306</v>
      </c>
      <c r="B64" t="s">
        <v>957</v>
      </c>
      <c r="C64" s="15" t="s">
        <v>588</v>
      </c>
      <c r="D64" s="15" t="s">
        <v>516</v>
      </c>
    </row>
    <row r="65" spans="1:4" ht="28.5" x14ac:dyDescent="0.25">
      <c r="A65" s="14" t="s">
        <v>307</v>
      </c>
      <c r="B65" t="s">
        <v>957</v>
      </c>
      <c r="C65" s="15" t="s">
        <v>589</v>
      </c>
      <c r="D65" s="15" t="s">
        <v>516</v>
      </c>
    </row>
    <row r="66" spans="1:4" ht="28.5" x14ac:dyDescent="0.25">
      <c r="A66" s="14" t="s">
        <v>308</v>
      </c>
      <c r="B66" t="s">
        <v>957</v>
      </c>
      <c r="C66" s="15" t="s">
        <v>590</v>
      </c>
      <c r="D66" s="15" t="s">
        <v>516</v>
      </c>
    </row>
    <row r="67" spans="1:4" ht="28.5" x14ac:dyDescent="0.25">
      <c r="A67" s="14" t="s">
        <v>309</v>
      </c>
      <c r="B67" t="s">
        <v>957</v>
      </c>
      <c r="C67" s="15" t="s">
        <v>591</v>
      </c>
      <c r="D67" s="15" t="s">
        <v>516</v>
      </c>
    </row>
    <row r="68" spans="1:4" ht="28.5" x14ac:dyDescent="0.25">
      <c r="A68" s="14" t="s">
        <v>310</v>
      </c>
      <c r="B68" t="s">
        <v>957</v>
      </c>
      <c r="C68" s="15" t="s">
        <v>592</v>
      </c>
      <c r="D68" s="15" t="s">
        <v>516</v>
      </c>
    </row>
    <row r="69" spans="1:4" ht="28.5" x14ac:dyDescent="0.25">
      <c r="A69" s="14" t="s">
        <v>311</v>
      </c>
      <c r="B69" t="s">
        <v>957</v>
      </c>
      <c r="C69" s="15" t="s">
        <v>593</v>
      </c>
      <c r="D69" s="15" t="s">
        <v>516</v>
      </c>
    </row>
    <row r="70" spans="1:4" ht="28.5" x14ac:dyDescent="0.25">
      <c r="A70" s="14" t="s">
        <v>312</v>
      </c>
      <c r="B70" t="s">
        <v>957</v>
      </c>
      <c r="C70" s="15" t="s">
        <v>594</v>
      </c>
      <c r="D70" s="15" t="s">
        <v>516</v>
      </c>
    </row>
    <row r="71" spans="1:4" ht="28.5" x14ac:dyDescent="0.25">
      <c r="A71" s="14" t="s">
        <v>313</v>
      </c>
      <c r="B71" t="s">
        <v>957</v>
      </c>
      <c r="C71" s="15" t="s">
        <v>595</v>
      </c>
      <c r="D71" s="15" t="s">
        <v>516</v>
      </c>
    </row>
    <row r="72" spans="1:4" ht="28.5" x14ac:dyDescent="0.25">
      <c r="A72" s="14" t="s">
        <v>314</v>
      </c>
      <c r="B72" t="s">
        <v>957</v>
      </c>
      <c r="C72" s="15" t="s">
        <v>596</v>
      </c>
      <c r="D72" s="15" t="s">
        <v>516</v>
      </c>
    </row>
    <row r="73" spans="1:4" ht="28.5" x14ac:dyDescent="0.25">
      <c r="A73" s="14" t="s">
        <v>315</v>
      </c>
      <c r="B73" t="s">
        <v>957</v>
      </c>
      <c r="C73" s="15" t="s">
        <v>597</v>
      </c>
      <c r="D73" s="15" t="s">
        <v>516</v>
      </c>
    </row>
    <row r="74" spans="1:4" ht="28.5" x14ac:dyDescent="0.25">
      <c r="A74" s="14" t="s">
        <v>316</v>
      </c>
      <c r="B74" t="s">
        <v>957</v>
      </c>
      <c r="C74" s="15" t="s">
        <v>598</v>
      </c>
      <c r="D74" s="15" t="s">
        <v>516</v>
      </c>
    </row>
    <row r="75" spans="1:4" ht="42.75" x14ac:dyDescent="0.25">
      <c r="A75" s="14" t="s">
        <v>317</v>
      </c>
      <c r="B75" t="s">
        <v>957</v>
      </c>
      <c r="C75" s="15" t="s">
        <v>599</v>
      </c>
      <c r="D75" s="15" t="s">
        <v>516</v>
      </c>
    </row>
    <row r="76" spans="1:4" ht="28.5" x14ac:dyDescent="0.25">
      <c r="A76" s="14" t="s">
        <v>325</v>
      </c>
      <c r="B76" t="s">
        <v>954</v>
      </c>
      <c r="C76" s="15" t="s">
        <v>600</v>
      </c>
      <c r="D76" s="15" t="s">
        <v>516</v>
      </c>
    </row>
    <row r="77" spans="1:4" ht="28.5" x14ac:dyDescent="0.25">
      <c r="A77" s="14" t="s">
        <v>326</v>
      </c>
      <c r="B77" t="s">
        <v>954</v>
      </c>
      <c r="C77" s="15" t="s">
        <v>601</v>
      </c>
      <c r="D77" s="15" t="s">
        <v>516</v>
      </c>
    </row>
    <row r="78" spans="1:4" ht="28.5" x14ac:dyDescent="0.25">
      <c r="A78" s="14" t="s">
        <v>327</v>
      </c>
      <c r="B78" t="s">
        <v>954</v>
      </c>
      <c r="C78" s="15" t="s">
        <v>602</v>
      </c>
      <c r="D78" s="15" t="s">
        <v>516</v>
      </c>
    </row>
    <row r="79" spans="1:4" ht="28.5" x14ac:dyDescent="0.25">
      <c r="A79" s="14" t="s">
        <v>328</v>
      </c>
      <c r="B79" t="s">
        <v>954</v>
      </c>
      <c r="C79" s="15" t="s">
        <v>603</v>
      </c>
      <c r="D79" s="15" t="s">
        <v>516</v>
      </c>
    </row>
    <row r="80" spans="1:4" ht="28.5" x14ac:dyDescent="0.25">
      <c r="A80" s="14" t="s">
        <v>329</v>
      </c>
      <c r="B80" t="s">
        <v>954</v>
      </c>
      <c r="C80" s="15" t="s">
        <v>604</v>
      </c>
      <c r="D80" s="15" t="s">
        <v>516</v>
      </c>
    </row>
    <row r="81" spans="1:4" ht="28.5" hidden="1" x14ac:dyDescent="0.25">
      <c r="A81" s="14" t="s">
        <v>330</v>
      </c>
      <c r="B81" t="s">
        <v>517</v>
      </c>
      <c r="C81" s="15" t="s">
        <v>605</v>
      </c>
      <c r="D81" s="14" t="s">
        <v>519</v>
      </c>
    </row>
    <row r="82" spans="1:4" ht="28.5" x14ac:dyDescent="0.25">
      <c r="A82" s="14" t="s">
        <v>331</v>
      </c>
      <c r="B82" t="s">
        <v>954</v>
      </c>
      <c r="C82" s="15" t="s">
        <v>606</v>
      </c>
      <c r="D82" s="15" t="s">
        <v>516</v>
      </c>
    </row>
    <row r="83" spans="1:4" ht="28.5" x14ac:dyDescent="0.25">
      <c r="A83" s="14" t="s">
        <v>332</v>
      </c>
      <c r="B83" t="s">
        <v>954</v>
      </c>
      <c r="C83" s="15" t="s">
        <v>607</v>
      </c>
      <c r="D83" s="15" t="s">
        <v>516</v>
      </c>
    </row>
    <row r="84" spans="1:4" ht="28.5" x14ac:dyDescent="0.25">
      <c r="A84" s="14" t="s">
        <v>333</v>
      </c>
      <c r="B84" t="s">
        <v>954</v>
      </c>
      <c r="C84" s="15" t="s">
        <v>608</v>
      </c>
      <c r="D84" s="15" t="s">
        <v>516</v>
      </c>
    </row>
    <row r="85" spans="1:4" ht="28.5" x14ac:dyDescent="0.25">
      <c r="A85" s="14" t="s">
        <v>334</v>
      </c>
      <c r="B85" t="s">
        <v>954</v>
      </c>
      <c r="C85" s="15" t="s">
        <v>609</v>
      </c>
      <c r="D85" s="15" t="s">
        <v>516</v>
      </c>
    </row>
    <row r="86" spans="1:4" ht="28.5" x14ac:dyDescent="0.25">
      <c r="A86" s="14" t="s">
        <v>335</v>
      </c>
      <c r="B86" t="s">
        <v>954</v>
      </c>
      <c r="C86" s="15" t="s">
        <v>610</v>
      </c>
      <c r="D86" s="15" t="s">
        <v>516</v>
      </c>
    </row>
    <row r="87" spans="1:4" ht="28.5" x14ac:dyDescent="0.25">
      <c r="A87" s="14" t="s">
        <v>336</v>
      </c>
      <c r="B87" t="s">
        <v>954</v>
      </c>
      <c r="C87" s="15" t="s">
        <v>611</v>
      </c>
      <c r="D87" s="15" t="s">
        <v>516</v>
      </c>
    </row>
    <row r="88" spans="1:4" ht="28.5" x14ac:dyDescent="0.25">
      <c r="A88" s="14" t="s">
        <v>337</v>
      </c>
      <c r="B88" t="s">
        <v>954</v>
      </c>
      <c r="C88" s="15" t="s">
        <v>612</v>
      </c>
      <c r="D88" s="15" t="s">
        <v>516</v>
      </c>
    </row>
    <row r="89" spans="1:4" ht="28.5" x14ac:dyDescent="0.25">
      <c r="A89" s="14" t="s">
        <v>349</v>
      </c>
      <c r="B89" t="s">
        <v>947</v>
      </c>
      <c r="C89" s="15" t="s">
        <v>613</v>
      </c>
      <c r="D89" s="15" t="s">
        <v>516</v>
      </c>
    </row>
    <row r="90" spans="1:4" ht="42.75" x14ac:dyDescent="0.25">
      <c r="A90" s="14" t="s">
        <v>350</v>
      </c>
      <c r="B90" t="s">
        <v>947</v>
      </c>
      <c r="C90" s="15" t="s">
        <v>614</v>
      </c>
      <c r="D90" s="15" t="s">
        <v>516</v>
      </c>
    </row>
    <row r="91" spans="1:4" ht="42.75" x14ac:dyDescent="0.25">
      <c r="A91" s="14" t="s">
        <v>351</v>
      </c>
      <c r="B91" t="s">
        <v>947</v>
      </c>
      <c r="C91" s="15" t="s">
        <v>615</v>
      </c>
      <c r="D91" s="15" t="s">
        <v>516</v>
      </c>
    </row>
    <row r="92" spans="1:4" ht="42.75" x14ac:dyDescent="0.25">
      <c r="A92" s="14" t="s">
        <v>352</v>
      </c>
      <c r="B92" t="s">
        <v>947</v>
      </c>
      <c r="C92" s="15" t="s">
        <v>616</v>
      </c>
      <c r="D92" s="15" t="s">
        <v>516</v>
      </c>
    </row>
    <row r="93" spans="1:4" ht="42.75" x14ac:dyDescent="0.25">
      <c r="A93" s="14" t="s">
        <v>353</v>
      </c>
      <c r="B93" t="s">
        <v>947</v>
      </c>
      <c r="C93" s="15" t="s">
        <v>617</v>
      </c>
      <c r="D93" s="15" t="s">
        <v>516</v>
      </c>
    </row>
    <row r="94" spans="1:4" ht="28.5" x14ac:dyDescent="0.25">
      <c r="A94" s="14" t="s">
        <v>354</v>
      </c>
      <c r="B94" t="s">
        <v>947</v>
      </c>
      <c r="C94" s="15" t="s">
        <v>618</v>
      </c>
      <c r="D94" s="15" t="s">
        <v>516</v>
      </c>
    </row>
  </sheetData>
  <autoFilter ref="A1:D94" xr:uid="{6368DA71-DFE0-4DC8-A8F8-DAF2AB9099A6}">
    <filterColumn colId="1">
      <filters>
        <filter val="F1: Manage Refueling Requests_THIS"/>
        <filter val="F1: Manage Refueling Requests_THIS_x000a_F2: Control Autonomous Docking_THIS_x000a_F3: Execute Fuel Transfer_THIS"/>
        <filter val="F2: Control Autonomous Docking_THIS"/>
        <filter val="F2: Control Autonomous Docking_THIS_x000a_F3: Execute Fuel Transfer_THIS"/>
        <filter val="F3: Execute Fuel Transfer_THIS"/>
        <filter val="F3: Execute Fuel Transfer_THIS_x000a_F4: Monitor Safety &amp; Diagnostics_THIS"/>
        <filter val="F4: Monitor Safety &amp; Diagnostics_THIS"/>
        <filter val="F5: Manage Communications_THIS"/>
        <filter val="F6: Operate in Adverse Conditions_THIS"/>
        <filter val="F7: Enforce Cybersecurity_THIS"/>
        <filter val="F8: Manage HMI_THI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1810-D26D-4CD5-9F24-069C79AD031E}">
  <dimension ref="A1:B8"/>
  <sheetViews>
    <sheetView workbookViewId="0">
      <selection sqref="A1:A8"/>
    </sheetView>
  </sheetViews>
  <sheetFormatPr defaultRowHeight="15" x14ac:dyDescent="0.25"/>
  <cols>
    <col min="1" max="1" width="35.5703125" bestFit="1" customWidth="1"/>
  </cols>
  <sheetData>
    <row r="1" spans="1:2" x14ac:dyDescent="0.25">
      <c r="A1" t="s">
        <v>629</v>
      </c>
      <c r="B1" t="str">
        <f>A1&amp;+"_THIS"</f>
        <v>F1: Manage Refueling Requests_THIS</v>
      </c>
    </row>
    <row r="2" spans="1:2" x14ac:dyDescent="0.25">
      <c r="A2" t="s">
        <v>630</v>
      </c>
      <c r="B2" t="str">
        <f t="shared" ref="B2:B8" si="0">A2&amp;+"_THIS"</f>
        <v>F2: Control Autonomous Docking_THIS</v>
      </c>
    </row>
    <row r="3" spans="1:2" x14ac:dyDescent="0.25">
      <c r="A3" t="s">
        <v>631</v>
      </c>
      <c r="B3" t="str">
        <f t="shared" si="0"/>
        <v>F3: Execute Fuel Transfer_THIS</v>
      </c>
    </row>
    <row r="4" spans="1:2" x14ac:dyDescent="0.25">
      <c r="A4" t="s">
        <v>632</v>
      </c>
      <c r="B4" t="str">
        <f t="shared" si="0"/>
        <v>F4: Monitor Safety &amp; Diagnostics_THIS</v>
      </c>
    </row>
    <row r="5" spans="1:2" x14ac:dyDescent="0.25">
      <c r="A5" t="s">
        <v>633</v>
      </c>
      <c r="B5" t="str">
        <f t="shared" si="0"/>
        <v>F5: Manage Communications_THIS</v>
      </c>
    </row>
    <row r="6" spans="1:2" x14ac:dyDescent="0.25">
      <c r="A6" t="s">
        <v>634</v>
      </c>
      <c r="B6" t="str">
        <f t="shared" si="0"/>
        <v>F6: Operate in Adverse Conditions_THIS</v>
      </c>
    </row>
    <row r="7" spans="1:2" x14ac:dyDescent="0.25">
      <c r="A7" t="s">
        <v>635</v>
      </c>
      <c r="B7" t="str">
        <f t="shared" si="0"/>
        <v>F7: Enforce Cybersecurity_THIS</v>
      </c>
    </row>
    <row r="8" spans="1:2" x14ac:dyDescent="0.25">
      <c r="A8" t="s">
        <v>636</v>
      </c>
      <c r="B8" t="str">
        <f t="shared" si="0"/>
        <v>F8: Manage HMI_THIS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Satisfied By</vt:lpstr>
      <vt:lpstr>All Behaviors</vt:lpstr>
      <vt:lpstr>VLOOKUP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Cohen</dc:creator>
  <cp:lastModifiedBy>Joe Cohen</cp:lastModifiedBy>
  <dcterms:created xsi:type="dcterms:W3CDTF">2015-06-05T18:19:34Z</dcterms:created>
  <dcterms:modified xsi:type="dcterms:W3CDTF">2025-02-24T00:41:35Z</dcterms:modified>
</cp:coreProperties>
</file>