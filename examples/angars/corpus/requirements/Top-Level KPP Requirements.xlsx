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lowestEdited="4" appName="xl" rupBuild="24030" lastEdited="5"/>
  <workbookPr filterPrivacy="1" autoCompressPictures="0"/>
  <bookViews>
    <workbookView firstSheet="0" activeTab="0" xWindow="7420" windowHeight="20140" yWindow="840" windowWidth="38400"/>
  </bookViews>
  <sheets>
    <sheet r:id="mr_sheet1" name="Report" sheetId="1"/>
  </sheets>
  <calcPr concurrentCalc="0"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<sst xmlns="http://schemas.openxmlformats.org/spreadsheetml/2006/main" count="80" uniqueCount="80">
  <si>
    <r>
      <t xml:space="preserve">Top-Level KPP Requirements</t>
    </r>
  </si>
  <si>
    <r>
      <t xml:space="preserve">#</t>
    </r>
  </si>
  <si>
    <r>
      <t xml:space="preserve">Name</t>
    </r>
  </si>
  <si>
    <r>
      <t xml:space="preserve">Derived From</t>
    </r>
  </si>
  <si>
    <r>
      <t xml:space="preserve">classification</t>
    </r>
  </si>
  <si>
    <r>
      <t xml:space="preserve">Text</t>
    </r>
  </si>
  <si>
    <r>
      <t xml:space="preserve">Verify Method</t>
    </r>
  </si>
  <si>
    <r>
      <t xml:space="preserve">KPP</t>
    </r>
  </si>
  <si>
    <r>
      <t xml:space="preserve">ANGARS-2 Refueling Time</t>
    </r>
  </si>
  <si>
    <r>
      <t xml:space="preserve">N1 Autonomous Refueling</t>
    </r>
  </si>
  <si>
    <r>
      <t xml:space="preserve">Quantitative</t>
    </r>
  </si>
  <si>
    <r>
      <t xml:space="preserve">The system shall complete refueling within 10 minutes (T), 8 minutes (O) of handshake (alignment) with receiving aircraft.</t>
    </r>
  </si>
  <si>
    <r>
      <t xml:space="preserve">Test</t>
    </r>
  </si>
  <si>
    <r>
      <t xml:space="preserve">true</t>
    </r>
  </si>
  <si>
    <r>
      <t/>
    </r>
  </si>
  <si>
    <r>
      <t xml:space="preserve">ANGARS-27 Contested Positioning Accuracy</t>
    </r>
  </si>
  <si>
    <r>
      <t xml:space="preserve">N3 Contested Environment Operation</t>
    </r>
  </si>
  <si>
    <r>
      <t xml:space="preserve">Quantitative</t>
    </r>
  </si>
  <si>
    <r>
      <t xml:space="preserve">The system shall maintain positional accuracy of ≤ 5m (T), 4m (O) in contested environments.</t>
    </r>
  </si>
  <si>
    <r>
      <t xml:space="preserve">Test</t>
    </r>
  </si>
  <si>
    <r>
      <t xml:space="preserve">true</t>
    </r>
  </si>
  <si>
    <r>
      <t/>
    </r>
  </si>
  <si>
    <r>
      <t xml:space="preserve">ANGARS-31 Low-Latency Commands</t>
    </r>
  </si>
  <si>
    <r>
      <t xml:space="preserve">N4 Secure Communication</t>
    </r>
  </si>
  <si>
    <r>
      <t xml:space="preserve">Quantitative</t>
    </r>
  </si>
  <si>
    <r>
      <t xml:space="preserve">The system shall maintain ≤ 15ms (T), 10ms (O) latency in command transmission.</t>
    </r>
  </si>
  <si>
    <r>
      <t xml:space="preserve">Test</t>
    </r>
  </si>
  <si>
    <r>
      <t xml:space="preserve">true</t>
    </r>
  </si>
  <si>
    <r>
      <t/>
    </r>
  </si>
  <si>
    <r>
      <t xml:space="preserve">ANGARS-43 AES-256 Encryption</t>
    </r>
  </si>
  <si>
    <r>
      <t xml:space="preserve">N3 Contested Environment Operation
N4 Secure Communication
N10 Threat Detection &amp; Response</t>
    </r>
  </si>
  <si>
    <r>
      <t xml:space="preserve">Binary</t>
    </r>
  </si>
  <si>
    <r>
      <t xml:space="preserve">The system shall encrypt all communications using AES-256 encryption protocol.</t>
    </r>
  </si>
  <si>
    <r>
      <t xml:space="preserve">Inspection</t>
    </r>
  </si>
  <si>
    <r>
      <t xml:space="preserve">true</t>
    </r>
  </si>
  <si>
    <r>
      <t/>
    </r>
  </si>
  <si>
    <r>
      <t xml:space="preserve">ANGARS-44 Obstacle Detection Range</t>
    </r>
  </si>
  <si>
    <r>
      <t xml:space="preserve">N5 Collision Avoidance</t>
    </r>
  </si>
  <si>
    <r>
      <t xml:space="preserve">Quantitative</t>
    </r>
  </si>
  <si>
    <r>
      <t xml:space="preserve">The system shall detect obstacles within 500m (T), 750m (O) with 99% accuracy.</t>
    </r>
  </si>
  <si>
    <r>
      <t xml:space="preserve">Test</t>
    </r>
  </si>
  <si>
    <r>
      <t xml:space="preserve">true</t>
    </r>
  </si>
  <si>
    <r>
      <t/>
    </r>
  </si>
  <si>
    <r>
      <t xml:space="preserve">ANGARS-53 Collision Expectancy</t>
    </r>
  </si>
  <si>
    <r>
      <t xml:space="preserve">N5 Collision Avoidance</t>
    </r>
  </si>
  <si>
    <r>
      <t xml:space="preserve">Quantitative</t>
    </r>
  </si>
  <si>
    <r>
      <t xml:space="preserve">The system shall have on average, a collision expectancy of no more than once every 1,000,000 mission hours (T) 1,500,000 (O) mission hours.</t>
    </r>
  </si>
  <si>
    <r>
      <t xml:space="preserve">Analysis</t>
    </r>
  </si>
  <si>
    <r>
      <t xml:space="preserve">true</t>
    </r>
  </si>
  <si>
    <r>
      <t/>
    </r>
  </si>
  <si>
    <r>
      <t xml:space="preserve">ANGARS-56 Triple Redundancy</t>
    </r>
  </si>
  <si>
    <r>
      <t xml:space="preserve">N6 Redundant Fail-Safe Systems</t>
    </r>
  </si>
  <si>
    <r>
      <t xml:space="preserve">Binary</t>
    </r>
  </si>
  <si>
    <r>
      <t xml:space="preserve">The system shall employ triple-redundant flight control systems.</t>
    </r>
  </si>
  <si>
    <r>
      <t xml:space="preserve">Inspection</t>
    </r>
  </si>
  <si>
    <r>
      <t xml:space="preserve">true</t>
    </r>
  </si>
  <si>
    <r>
      <t/>
    </r>
  </si>
  <si>
    <r>
      <t xml:space="preserve">ANGARS-62 Mission Success Rate</t>
    </r>
  </si>
  <si>
    <r>
      <t xml:space="preserve">N7 Mission Reliability</t>
    </r>
  </si>
  <si>
    <r>
      <t xml:space="preserve">Quantitative</t>
    </r>
  </si>
  <si>
    <r>
      <t xml:space="preserve">The system shall achieve ≥95% mission success rate under nominal conditions.</t>
    </r>
  </si>
  <si>
    <r>
      <t xml:space="preserve">Analysis</t>
    </r>
  </si>
  <si>
    <r>
      <t xml:space="preserve">true</t>
    </r>
  </si>
  <si>
    <r>
      <t/>
    </r>
  </si>
  <si>
    <r>
      <t xml:space="preserve">ANGARS-91 Jamming Mitigation</t>
    </r>
  </si>
  <si>
    <r>
      <t xml:space="preserve">N10 Threat Detection &amp; Response</t>
    </r>
  </si>
  <si>
    <r>
      <t xml:space="preserve">Quantitative</t>
    </r>
  </si>
  <si>
    <r>
      <t xml:space="preserve">The system shall mitigate jamming attempts within 30 seconds (T), 15 seconds (O).</t>
    </r>
  </si>
  <si>
    <r>
      <t xml:space="preserve">Test</t>
    </r>
  </si>
  <si>
    <r>
      <t xml:space="preserve">true</t>
    </r>
  </si>
  <si>
    <r>
      <t/>
    </r>
  </si>
  <si>
    <r>
      <t xml:space="preserve">ANGARS-125 KC-46 Integration</t>
    </r>
  </si>
  <si>
    <r>
      <t xml:space="preserve">N14 Integration with Tanker Platforms</t>
    </r>
  </si>
  <si>
    <r>
      <t xml:space="preserve">Binary</t>
    </r>
  </si>
  <si>
    <r>
      <t xml:space="preserve">The system shall integrate with existing KC-46 tankers without structural modifications.</t>
    </r>
  </si>
  <si>
    <r>
      <t xml:space="preserve">Inspection</t>
    </r>
  </si>
  <si>
    <r>
      <t xml:space="preserve">true</t>
    </r>
  </si>
  <si>
    <r>
      <t/>
    </r>
  </si>
  <si>
    <r>
      <t/>
    </r>
  </si>
  <si>
    <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</si>
</sst>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fontId="0" fillId="0" borderId="0" numFmtId="0" applyAlignment="1">
      <alignment wrapText="0"/>
    </xf>
  </cellStyleXfs>
  <cellXfs count="8">
    <xf xfId="0" fontId="0" fillId="0" borderId="0" numFmtId="0" applyAlignment="1">
      <alignment wrapText="0"/>
    </xf>
    <xf xfId="0" fontId="0" fillId="0" borderId="0" numFmtId="0" applyAlignment="1">
      <alignment wrapText="0"/>
    </xf>
    <xf xfId="0" fontId="0" fillId="0" borderId="0" numFmtId="0" applyAlignment="1">
      <alignment vertical="top" wrapText="1"/>
    </xf>
    <xf xfId="0" fontId="2" fillId="0" borderId="0" numFmtId="0" applyFont="1" applyAlignment="1">
      <alignment horizontal="left" vertical="center" wrapText="1"/>
    </xf>
    <xf xfId="0" fontId="3" fillId="0" borderId="0" numFmtId="0" applyFont="1" applyAlignment="1">
      <alignment horizontal="left" vertical="center" wrapText="1"/>
    </xf>
    <xf xfId="0" fontId="0" fillId="0" applyBorder="1" borderId="1" numFmtId="0" applyAlignment="1">
      <alignment vertical="top" wrapText="1"/>
    </xf>
    <xf xfId="0" fontId="0" fillId="0" applyBorder="1" borderId="0" numFmtId="0" applyAlignment="1">
      <alignment vertical="top" wrapText="1"/>
    </xf>
    <xf applyFill="1" xfId="0" fontId="1" fillId="2" applyBorder="1" borderId="1" numFmtId="0" applyFont="1" applyAlignment="1">
      <alignment horizontal="center" wrapTex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mr_sheet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xr2="http://schemas.microsoft.com/office/spreadsheetml/2015/revision2"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14ac="http://schemas.microsoft.com/office/spreadsheetml/2009/9/ac" mc:Ignorable="x14ac">
  <dimension ref="A1:I5"/>
  <sheetViews>
    <sheetView workbookViewId="0" zoomScale="150" zoomScalePageLayoutView="150" zoomScaleNormal="150">
      <selection activeCell="B8" sqref="B8"/>
    </sheetView>
  </sheetViews>
  <sheetFormatPr defaultColWidth="21.5" defaultRowHeight="14" x14ac:dyDescent="0" baseColWidth="10"/>
  <cols>
    <col customWidth="1" min="1" max="1" width="6.33203125" style="1"/>
    <col customWidth="1" min="2" max="2" width="40.33203125" style="1"/>
    <col min="3" max="16384" width="21.5" style="1"/>
  </cols>
  <sheetData>
    <row spans="1:9" r="1" customHeight="1" ht="30">
      <c r="A1" s="3" t="s">
        <v>0</v>
      </c>
      <c r="B1" s="4"/>
      <c r="C1" s="4"/>
      <c r="D1" s="4"/>
      <c r="E1" s="4"/>
      <c r="F1" s="4"/>
      <c r="G1" s="4"/>
      <c r="H1" s="4"/>
      <c r="I1" s="4"/>
    </row>
    <row spans="1:9"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spans="1:9" r="3" s="2" ht="252" customFormat="1">
      <c r="A3" s="5">
        <v>1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6" t="s">
        <v>14</v>
      </c>
    </row>
    <row spans="1:9" r="4" s="2" ht="252" customFormat="1">
      <c r="A4" s="5">
        <v>2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6" t="s">
        <v>21</v>
      </c>
    </row>
    <row spans="1:9" r="5" s="2" ht="252" customFormat="1">
      <c r="A5" s="5">
        <v>3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6" t="s">
        <v>28</v>
      </c>
    </row>
    <row spans="1:9" r="6" s="2" ht="252" customFormat="1">
      <c r="A6" s="5">
        <v>4</v>
      </c>
      <c r="B6" s="5" t="s">
        <v>29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34</v>
      </c>
      <c r="H6" s="6" t="s">
        <v>35</v>
      </c>
    </row>
    <row spans="1:9" r="7" s="2" ht="252" customFormat="1">
      <c r="A7" s="5">
        <v>5</v>
      </c>
      <c r="B7" s="5" t="s">
        <v>36</v>
      </c>
      <c r="C7" s="5" t="s">
        <v>37</v>
      </c>
      <c r="D7" s="5" t="s">
        <v>38</v>
      </c>
      <c r="E7" s="5" t="s">
        <v>39</v>
      </c>
      <c r="F7" s="5" t="s">
        <v>40</v>
      </c>
      <c r="G7" s="5" t="s">
        <v>41</v>
      </c>
      <c r="H7" s="6" t="s">
        <v>42</v>
      </c>
    </row>
    <row spans="1:9" r="8" s="2" ht="252" customFormat="1">
      <c r="A8" s="5">
        <v>6</v>
      </c>
      <c r="B8" s="5" t="s">
        <v>43</v>
      </c>
      <c r="C8" s="5" t="s">
        <v>44</v>
      </c>
      <c r="D8" s="5" t="s">
        <v>45</v>
      </c>
      <c r="E8" s="5" t="s">
        <v>46</v>
      </c>
      <c r="F8" s="5" t="s">
        <v>47</v>
      </c>
      <c r="G8" s="5" t="s">
        <v>48</v>
      </c>
      <c r="H8" s="6" t="s">
        <v>49</v>
      </c>
    </row>
    <row spans="1:9" r="9" s="2" ht="252" customFormat="1">
      <c r="A9" s="5">
        <v>7</v>
      </c>
      <c r="B9" s="5" t="s">
        <v>50</v>
      </c>
      <c r="C9" s="5" t="s">
        <v>51</v>
      </c>
      <c r="D9" s="5" t="s">
        <v>52</v>
      </c>
      <c r="E9" s="5" t="s">
        <v>53</v>
      </c>
      <c r="F9" s="5" t="s">
        <v>54</v>
      </c>
      <c r="G9" s="5" t="s">
        <v>55</v>
      </c>
      <c r="H9" s="6" t="s">
        <v>56</v>
      </c>
    </row>
    <row spans="1:9" r="10" s="2" ht="252" customFormat="1">
      <c r="A10" s="5">
        <v>8</v>
      </c>
      <c r="B10" s="5" t="s">
        <v>57</v>
      </c>
      <c r="C10" s="5" t="s">
        <v>58</v>
      </c>
      <c r="D10" s="5" t="s">
        <v>59</v>
      </c>
      <c r="E10" s="5" t="s">
        <v>60</v>
      </c>
      <c r="F10" s="5" t="s">
        <v>61</v>
      </c>
      <c r="G10" s="5" t="s">
        <v>62</v>
      </c>
      <c r="H10" s="6" t="s">
        <v>63</v>
      </c>
    </row>
    <row spans="1:9" r="11" s="2" ht="252" customFormat="1">
      <c r="A11" s="5">
        <v>9</v>
      </c>
      <c r="B11" s="5" t="s">
        <v>64</v>
      </c>
      <c r="C11" s="5" t="s">
        <v>65</v>
      </c>
      <c r="D11" s="5" t="s">
        <v>66</v>
      </c>
      <c r="E11" s="5" t="s">
        <v>67</v>
      </c>
      <c r="F11" s="5" t="s">
        <v>68</v>
      </c>
      <c r="G11" s="5" t="s">
        <v>69</v>
      </c>
      <c r="H11" s="6" t="s">
        <v>70</v>
      </c>
    </row>
    <row spans="1:9" r="12" s="2" ht="252" customFormat="1">
      <c r="A12" s="5">
        <v>10</v>
      </c>
      <c r="B12" s="5" t="s">
        <v>71</v>
      </c>
      <c r="C12" s="5" t="s">
        <v>72</v>
      </c>
      <c r="D12" s="5" t="s">
        <v>73</v>
      </c>
      <c r="E12" s="5" t="s">
        <v>74</v>
      </c>
      <c r="F12" s="5" t="s">
        <v>75</v>
      </c>
      <c r="G12" s="5" t="s">
        <v>76</v>
      </c>
      <c r="H12" s="6" t="s">
        <v>77</v>
      </c>
    </row>
    <row spans="1:9" r="13">
      <c r="A13" s="1" t="s">
        <v>78</v>
      </c>
    </row>
    <row spans="1:9" r="14">
      <c r="A14" s="1" t="s">
        <v>79</v>
      </c>
    </row>
  </sheetData>
  <mergeCells count="1">
    <mergeCell ref="A1:I1"/>
  </mergeCells>
  <conditionalFormatting sqref="A1:XFD1048576">
    <cfRule dxfId="1" text="fail" priority="2" type="containsText" operator="containsText">
      <formula>NOT(ISERROR(SEARCH("fail",A1)))</formula>
    </cfRule>
    <cfRule dxfId="0" text="pass" priority="1" type="containsText" operator="containsText">
      <formula>NOT(ISERROR(SEARCH("pass",A1)))</formula>
    </cfRule>
  </conditionalFormatting>
  <pageMargins top="0.75" footer="0.3" left="0.7" bottom="0.75" header="0.3" right="0.7"/>
  <pageSetup orientation="portrait" paperSize="9"/>
  <extLst>
    <ext xmlns:mx="http://schemas.microsoft.com/office/mac/excel/2008/main" uri="{64002731-A6B0-56B0-2670-7721B7C09600}">
      <mx:PLV OnePage="0" WScale="0" Mod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Table Report</dc:title>
  <dc:creator/>
  <cp:lastModifiedBy/>
  <dcterms:created xsi:type="dcterms:W3CDTF">2006-09-16T00:00:00Z</dcterms:created>
  <dcterms:modified xsi:type="dcterms:W3CDTF">2014-05-14T09:52:01Z</dcterms:modified>
</cp:coreProperties>
</file>